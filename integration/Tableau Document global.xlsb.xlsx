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hidePivotFieldList="1"/>
  <mc:AlternateContent xmlns:mc="http://schemas.openxmlformats.org/markup-compatibility/2006">
    <mc:Choice Requires="x15">
      <x15ac:absPath xmlns:x15ac="http://schemas.microsoft.com/office/spreadsheetml/2010/11/ac" url="https://d.docs.live.net/79DDEB9BA0673D1C/"/>
    </mc:Choice>
  </mc:AlternateContent>
  <xr:revisionPtr revIDLastSave="0" documentId="8_{0E0DA37E-4A09-454D-8FB6-E5C5A613550B}" xr6:coauthVersionLast="47" xr6:coauthVersionMax="47" xr10:uidLastSave="{00000000-0000-0000-0000-000000000000}"/>
  <bookViews>
    <workbookView xWindow="-120" yWindow="-120" windowWidth="29040" windowHeight="15720" tabRatio="602" firstSheet="6" activeTab="6" xr2:uid="{D4E655B1-F85F-45B7-A4A3-EDA9298F5018}"/>
  </bookViews>
  <sheets>
    <sheet name="DONNEES GLOBAL CHAUFFEURS 2025" sheetId="12" r:id="rId1"/>
    <sheet name="RECLAMATIONS" sheetId="42" r:id="rId2"/>
    <sheet name="MUTUELLE MEDECINE DU TRAVAIL" sheetId="35" r:id="rId3"/>
    <sheet name="Document Chauffeur" sheetId="4" r:id="rId4"/>
    <sheet name="TABLEAU DU PERSONNELS SAF LOG" sheetId="44" r:id="rId5"/>
    <sheet name="TABL JANVIER 2026" sheetId="8" r:id="rId6"/>
    <sheet name="Identifiants" sheetId="7" r:id="rId7"/>
    <sheet name="MAIL POUR ENVOYER AU COMPTABLE" sheetId="15" r:id="rId8"/>
    <sheet name="ASSURANCES VEHICULES" sheetId="41" r:id="rId9"/>
    <sheet name="controle vehicules en cours" sheetId="40" r:id="rId10"/>
    <sheet name="LOGISTIQUE Licence, Carte GO" sheetId="2" r:id="rId11"/>
    <sheet name="Planning netoyage SAF AT " sheetId="50" r:id="rId12"/>
    <sheet name="Planning de travail SAF AT" sheetId="51" r:id="rId13"/>
    <sheet name="Conseil à la sécurite" sheetId="3" r:id="rId14"/>
    <sheet name="tableau REPARATIO 3 mois format" sheetId="37" r:id="rId15"/>
    <sheet name="Kit ADR GEODIS" sheetId="26" r:id="rId16"/>
    <sheet name="Tableau point de contrôle " sheetId="34" r:id="rId17"/>
    <sheet name="Feuil2" sheetId="38" state="hidden" r:id="rId18"/>
    <sheet name="INFRACTIONS CHAUFFEURS" sheetId="13" r:id="rId19"/>
    <sheet name="DATE CONTROLE VEHICULES PRESTA " sheetId="28" r:id="rId20"/>
    <sheet name="CONTRAVENTIONS " sheetId="36" r:id="rId21"/>
    <sheet name="camions-matricules" sheetId="49" r:id="rId22"/>
    <sheet name="Liste du personnel affécté " sheetId="53" r:id="rId23"/>
    <sheet name="planning Dec25" sheetId="55" r:id="rId24"/>
    <sheet name="Tableau des congés 2026" sheetId="54" r:id="rId25"/>
  </sheets>
  <definedNames>
    <definedName name="_xlnm._FilterDatabase" localSheetId="8" hidden="1">'ASSURANCES VEHICULES'!$A$1:$B$22</definedName>
    <definedName name="_xlnm._FilterDatabase" localSheetId="0" hidden="1">'DONNEES GLOBAL CHAUFFEURS 2025'!$A$1:$U$21</definedName>
    <definedName name="_xlnm.Print_Area" localSheetId="8">'ASSURANCES VEHICULES'!$E$1:$G$22</definedName>
    <definedName name="_xlnm.Print_Area" localSheetId="13">'Conseil à la sécurite'!$A$1:$E$23</definedName>
    <definedName name="_xlnm.Print_Area" localSheetId="3">'Document Chauffeur'!$A$1:$G$23</definedName>
    <definedName name="_xlnm.Print_Area" localSheetId="6">Identifiants!$A$1:$E$13</definedName>
    <definedName name="_xlnm.Print_Area" localSheetId="10">'LOGISTIQUE Licence, Carte GO'!$C$1:$D$13</definedName>
    <definedName name="_xlnm.Print_Area" localSheetId="12">'Planning de travail SAF AT'!$A$1:$G$8</definedName>
    <definedName name="_xlnm.Print_Area" localSheetId="5">'TABL JANVIER 2026'!$A$1:$D$23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53" l="1"/>
  <c r="F18" i="53"/>
  <c r="R2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tc={896EAA5D-1F18-4FDD-827A-C34DDFE6B14E}</author>
    <author>tc={D574BAED-6CD8-4B8F-A2CD-7FF40CE93C3D}</author>
    <author>tc={0EA5972F-19C2-4F1E-8DD8-DF33E602B8A0}</author>
    <author>tc={BD193B4B-1577-4FE3-A733-CBADDD630473}</author>
    <author>tc={2EFB35DE-85B0-48C1-A4EE-6559443DECCE}</author>
    <author>tc={527BC9F3-76B6-43D8-9BD5-CC4E72B23196}</author>
    <author>tc={5DE443C0-15A3-4C86-A092-737BFD99948A}</author>
    <author>tc={157A4FFC-A25A-4E4D-AD5C-377001D4B1C8}</author>
  </authors>
  <commentList>
    <comment ref="E5" authorId="0" shapeId="0" xr:uid="{896EAA5D-1F18-4FDD-827A-C34DDFE6B14E}">
      <text>
        <t>[Threaded comment]
Your version of Excel allows you to read this threaded comment; however, any edits to it will get removed if the file is opened in a newer version of Excel. Learn more: https://go.microsoft.com/fwlink/?linkid=870924
Comment:
    La demande est faite(04/02/2026)</t>
      </text>
    </comment>
    <comment ref="F5" authorId="1" shapeId="0" xr:uid="{D574BAED-6CD8-4B8F-A2CD-7FF40CE93C3D}">
      <text>
        <t xml:space="preserve">[Threaded comment]
Your version of Excel allows you to read this threaded comment; however, any edits to it will get removed if the file is opened in a newer version of Excel. Learn more: https://go.microsoft.com/fwlink/?linkid=870924
Comment:
    Formation-le 02/02/2026
</t>
      </text>
    </comment>
    <comment ref="B6" authorId="2" shapeId="0" xr:uid="{0EA5972F-19C2-4F1E-8DD8-DF33E602B8A0}">
      <text>
        <t>[Threaded comment]
Your version of Excel allows you to read this threaded comment; however, any edits to it will get removed if the file is opened in a newer version of Excel. Learn more: https://go.microsoft.com/fwlink/?linkid=870924
Comment:
    (demande envoyée)</t>
      </text>
    </comment>
    <comment ref="B8" authorId="3" shapeId="0" xr:uid="{BD193B4B-1577-4FE3-A733-CBADDD630473}">
      <text>
        <t>[Threaded comment]
Your version of Excel allows you to read this threaded comment; however, any edits to it will get removed if the file is opened in a newer version of Excel. Learn more: https://go.microsoft.com/fwlink/?linkid=870924
Comment:
    (pb prefecture</t>
      </text>
    </comment>
    <comment ref="B11" authorId="4" shapeId="0" xr:uid="{2EFB35DE-85B0-48C1-A4EE-6559443DECCE}">
      <text>
        <t>[Threaded comment]
Your version of Excel allows you to read this threaded comment; however, any edits to it will get removed if the file is opened in a newer version of Excel. Learn more: https://go.microsoft.com/fwlink/?linkid=870924
Comment:
    (papiers-Euro)</t>
      </text>
    </comment>
    <comment ref="C11" authorId="5" shapeId="0" xr:uid="{527BC9F3-76B6-43D8-9BD5-CC4E72B23196}">
      <text>
        <t>[Threaded comment]
Your version of Excel allows you to read this threaded comment; however, any edits to it will get removed if the file is opened in a newer version of Excel. Learn more: https://go.microsoft.com/fwlink/?linkid=870924
Comment:
    Demande faite</t>
      </text>
    </comment>
    <comment ref="G11" authorId="6" shapeId="0" xr:uid="{5DE443C0-15A3-4C86-A092-737BFD99948A}">
      <text>
        <t>[Threaded comment]
Your version of Excel allows you to read this threaded comment; however, any edits to it will get removed if the file is opened in a newer version of Excel. Learn more: https://go.microsoft.com/fwlink/?linkid=870924
Comment:
    En cours</t>
      </text>
    </comment>
    <comment ref="H12" authorId="7" shapeId="0" xr:uid="{157A4FFC-A25A-4E4D-AD5C-377001D4B1C8}">
      <text>
        <t>[Threaded comment]
Your version of Excel allows you to read this threaded comment; however, any edits to it will get removed if the file is opened in a newer version of Excel. Learn more: https://go.microsoft.com/fwlink/?linkid=870924
Comment:
    RV le 31-03-2026</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<sst xmlns="http://schemas.openxmlformats.org/spreadsheetml/2006/main" count="1789" uniqueCount="813">
  <si>
    <t>Nom chauffeur</t>
  </si>
  <si>
    <t>ENTREPRISE</t>
  </si>
  <si>
    <t>Site</t>
  </si>
  <si>
    <t>Date d'entrée entreprise</t>
  </si>
  <si>
    <t>DATE DE NAISSANCE</t>
  </si>
  <si>
    <t>ADRESSE</t>
  </si>
  <si>
    <t>CP</t>
  </si>
  <si>
    <t>VILLE</t>
  </si>
  <si>
    <t xml:space="preserve">Medecine du travail </t>
  </si>
  <si>
    <t>Dernier RDV</t>
  </si>
  <si>
    <t>PROCHAIN RDV</t>
  </si>
  <si>
    <t xml:space="preserve">Télephone </t>
  </si>
  <si>
    <t xml:space="preserve">MAIL </t>
  </si>
  <si>
    <t>N° SECURITE SOCIAL</t>
  </si>
  <si>
    <t>REF N° CARTE GAZOIL</t>
  </si>
  <si>
    <t>N° PERMISDE CONDUIRE</t>
  </si>
  <si>
    <t>N° DE CONDUCTEUR</t>
  </si>
  <si>
    <t>ENSEIGNE GAZOIL</t>
  </si>
  <si>
    <t>Relance pieces manquantes</t>
  </si>
  <si>
    <t xml:space="preserve">pieces envoyé </t>
  </si>
  <si>
    <t>ABDALLAH Fouad</t>
  </si>
  <si>
    <t>SAF LOGISTIQUE</t>
  </si>
  <si>
    <t>PAS DE FIXE</t>
  </si>
  <si>
    <t>47 rue de Goussainville</t>
  </si>
  <si>
    <t>FONTENAY EN PARSIS</t>
  </si>
  <si>
    <t>06 12 70 37 47</t>
  </si>
  <si>
    <t>Total Energie (p815)</t>
  </si>
  <si>
    <t>23AW67402</t>
  </si>
  <si>
    <t>TOTAL ENERGIE</t>
  </si>
  <si>
    <t>relance 05 juin carte gazoil</t>
  </si>
  <si>
    <t>ABDALLAH Khaled</t>
  </si>
  <si>
    <t xml:space="preserve">SAF LOG </t>
  </si>
  <si>
    <t>001/08/1987</t>
  </si>
  <si>
    <t>29 Place des fleurs</t>
  </si>
  <si>
    <t>Carrieres sous poissy</t>
  </si>
  <si>
    <t>07 66 80 25 44</t>
  </si>
  <si>
    <t>1 87 08 99 352 557  /67</t>
  </si>
  <si>
    <t>SAF LOG 6</t>
  </si>
  <si>
    <t>24AZ46239</t>
  </si>
  <si>
    <t>DKV</t>
  </si>
  <si>
    <t>OUI</t>
  </si>
  <si>
    <t>ABDALLAH Sofiane</t>
  </si>
  <si>
    <t>GEODIS</t>
  </si>
  <si>
    <t>58 rue Jules Ferry</t>
  </si>
  <si>
    <t>CHATOU</t>
  </si>
  <si>
    <t>IL Y A 6 ANS</t>
  </si>
  <si>
    <t>06 58 62 65 88</t>
  </si>
  <si>
    <t>SAF BEZON 1019</t>
  </si>
  <si>
    <t>23AL72603</t>
  </si>
  <si>
    <t>DKV - TOTAL</t>
  </si>
  <si>
    <t>BENACHOUR Kamel</t>
  </si>
  <si>
    <t>Garonor</t>
  </si>
  <si>
    <t>23 rue Jules Michelet</t>
  </si>
  <si>
    <t>COLOMBES</t>
  </si>
  <si>
    <t>PAS DE DATE DERNIER RDV</t>
  </si>
  <si>
    <t>06 65 59 50 85</t>
  </si>
  <si>
    <t>benachourkamel31@hotmail.com</t>
  </si>
  <si>
    <t>Fonternay en Parisis P 584</t>
  </si>
  <si>
    <t>20AV11795</t>
  </si>
  <si>
    <t>BETTIOUI Badr</t>
  </si>
  <si>
    <t>201 CHEMIN DE LA BOURDETTE</t>
  </si>
  <si>
    <t>BEAUMONT DE LOMAGE</t>
  </si>
  <si>
    <t>IL Y A 1 AN</t>
  </si>
  <si>
    <t>07 53 65 01 00</t>
  </si>
  <si>
    <t>badr.betti@gmail.com</t>
  </si>
  <si>
    <t>P13</t>
  </si>
  <si>
    <t>22AG59297</t>
  </si>
  <si>
    <t>BENALI Mokhtar</t>
  </si>
  <si>
    <t xml:space="preserve">2 rue des Sorbiers </t>
  </si>
  <si>
    <t>NANTERRE</t>
  </si>
  <si>
    <t>sms 17072025</t>
  </si>
  <si>
    <t>Total Energie (P670)</t>
  </si>
  <si>
    <t>BENALOU Mohammed</t>
  </si>
  <si>
    <t xml:space="preserve">49 avenue Lucie Desnos  </t>
  </si>
  <si>
    <t>GARGENVILLE</t>
  </si>
  <si>
    <t>BOUKZINE Mouloud</t>
  </si>
  <si>
    <t>SAF LOG</t>
  </si>
  <si>
    <t>Epône</t>
  </si>
  <si>
    <t>02/06/2023 // 02/11/2025</t>
  </si>
  <si>
    <t>2 Allée des Grands Vignes</t>
  </si>
  <si>
    <t>MANTES LA JOLIE</t>
  </si>
  <si>
    <t>06 44 03 84 68</t>
  </si>
  <si>
    <t>boukzine@live.fr</t>
  </si>
  <si>
    <t>P15</t>
  </si>
  <si>
    <t>21AX12336</t>
  </si>
  <si>
    <t>relance 05 juin</t>
  </si>
  <si>
    <t>BRILLANT Eddy</t>
  </si>
  <si>
    <t>11 rue Emile ZOLA</t>
  </si>
  <si>
    <t>LE BLANC MESNIL</t>
  </si>
  <si>
    <t>IL YA 2 ANS</t>
  </si>
  <si>
    <t>06 58 61 50 01</t>
  </si>
  <si>
    <t>brillant.eddy93@gmail.com</t>
  </si>
  <si>
    <t>23AK39170</t>
  </si>
  <si>
    <t>DKV (SAF VL-SUP VL)</t>
  </si>
  <si>
    <t>faux numero</t>
  </si>
  <si>
    <t>CHENHAOUI Rachid</t>
  </si>
  <si>
    <t>29 AVENUE DIVISION LECLERC</t>
  </si>
  <si>
    <t>IL YA 5 ANS</t>
  </si>
  <si>
    <t>07 69 65 62 91</t>
  </si>
  <si>
    <t>FONTENAY EN PARISIS P15</t>
  </si>
  <si>
    <t>U17W73110K</t>
  </si>
  <si>
    <t>DAHDOUD Abdelhadi</t>
  </si>
  <si>
    <t>36 Grande Rue</t>
  </si>
  <si>
    <t>NONANCOURT</t>
  </si>
  <si>
    <t>IL Y A 4 ANS</t>
  </si>
  <si>
    <t>06 59 78 18 01</t>
  </si>
  <si>
    <t>adahdoud@yahoo.com</t>
  </si>
  <si>
    <t>SAF LOG 5</t>
  </si>
  <si>
    <t>22AA99828</t>
  </si>
  <si>
    <t>DOUZI Mohammed</t>
  </si>
  <si>
    <t>DB schenker</t>
  </si>
  <si>
    <t>13 rue Jean Jacques Rousseau</t>
  </si>
  <si>
    <t>BLANC MESNIL</t>
  </si>
  <si>
    <t>IL Y A 2 ANS</t>
  </si>
  <si>
    <t>06 13 52 10 34</t>
  </si>
  <si>
    <t>SAF LOGISTIQUE  - DIRECTION</t>
  </si>
  <si>
    <t>LT5457790H</t>
  </si>
  <si>
    <t>DRAME Abdou</t>
  </si>
  <si>
    <t>45 avenue du Haut Pavé</t>
  </si>
  <si>
    <t>CERGY</t>
  </si>
  <si>
    <t>drameabdou427@gmail.com</t>
  </si>
  <si>
    <t>DKV (TRACTEUR 2)</t>
  </si>
  <si>
    <t>24AT33392</t>
  </si>
  <si>
    <t>EL IDRISSI Rachid</t>
  </si>
  <si>
    <t>EPONE</t>
  </si>
  <si>
    <t>3 rue Sausseuse</t>
  </si>
  <si>
    <t xml:space="preserve"> MANTES LA JOLIE</t>
  </si>
  <si>
    <t>IL A 2 ANS</t>
  </si>
  <si>
    <t>07 61 22 11 54</t>
  </si>
  <si>
    <t>rachidjajamoustaine@gmail.com</t>
  </si>
  <si>
    <t>P830</t>
  </si>
  <si>
    <t>23AG92662</t>
  </si>
  <si>
    <t>KARRADA Youssef</t>
  </si>
  <si>
    <t>COMPIEGNE</t>
  </si>
  <si>
    <t>4 rue  Victor Schoelcher</t>
  </si>
  <si>
    <t>06 70 89 55 41</t>
  </si>
  <si>
    <t>FONTENAY</t>
  </si>
  <si>
    <t>KONATE Youssouf</t>
  </si>
  <si>
    <t>2 rue Aug de maupassant</t>
  </si>
  <si>
    <t>MONTIGNY LES CORMEILLES</t>
  </si>
  <si>
    <t>07 67 15 41 95</t>
  </si>
  <si>
    <t>1 97 07 95 176 215  /53q</t>
  </si>
  <si>
    <t>SAF LOG 3</t>
  </si>
  <si>
    <t>24AU34337</t>
  </si>
  <si>
    <t>MADJID Abdarrahmane</t>
  </si>
  <si>
    <t>03 avenue de Bretagne</t>
  </si>
  <si>
    <t>SOISY SOUS MONTMORENCY</t>
  </si>
  <si>
    <t>06 35 59 65 97</t>
  </si>
  <si>
    <t>PAS DE SITE FIXE</t>
  </si>
  <si>
    <t>20AV65410</t>
  </si>
  <si>
    <t>MAJD Rachid</t>
  </si>
  <si>
    <t>9 rue des Closeaux</t>
  </si>
  <si>
    <t>FRANCONVILLE</t>
  </si>
  <si>
    <t>IL YA 4 ans</t>
  </si>
  <si>
    <t>07 67 83 33 84</t>
  </si>
  <si>
    <t>madjid.9295@gmail.com</t>
  </si>
  <si>
    <t>SAF 17 Tracteur 2</t>
  </si>
  <si>
    <t>23AF08709</t>
  </si>
  <si>
    <t>OULAIN Mustapha</t>
  </si>
  <si>
    <t>4 Rue Jean anouilh</t>
  </si>
  <si>
    <t>SARTROUVILLE</t>
  </si>
  <si>
    <t>SAF LOG 1</t>
  </si>
  <si>
    <t>25ACA1094</t>
  </si>
  <si>
    <t xml:space="preserve">DKV </t>
  </si>
  <si>
    <t>OK</t>
  </si>
  <si>
    <t>WAMBA Christian</t>
  </si>
  <si>
    <t xml:space="preserve">GEODIS </t>
  </si>
  <si>
    <t>06/09/2022//02/11/2025</t>
  </si>
  <si>
    <t>185 RUE DU GENERAL DE GAULLE</t>
  </si>
  <si>
    <t xml:space="preserve">  06 58 62 65 </t>
  </si>
  <si>
    <t>06 19 77 92 36</t>
  </si>
  <si>
    <t>wambaachristian@gmail.com</t>
  </si>
  <si>
    <t>FONTENAY EN PARISIS P336</t>
  </si>
  <si>
    <t>22AZ11019</t>
  </si>
  <si>
    <t>NIAKATEMamadou</t>
  </si>
  <si>
    <t>55 rue Michelet</t>
  </si>
  <si>
    <t>hourarihoucine127@gmail.com</t>
  </si>
  <si>
    <t>GOMIS Yohan</t>
  </si>
  <si>
    <t xml:space="preserve">GHANDOUR Abdallah </t>
  </si>
  <si>
    <t>14 RUE CHAILLON</t>
  </si>
  <si>
    <t xml:space="preserve"> VILLENEUVE LA GARENNE</t>
  </si>
  <si>
    <t>DKV (Saf log 6)</t>
  </si>
  <si>
    <t xml:space="preserve">    DKV (Saf bezon 1019)             Total Energie (p012)</t>
  </si>
  <si>
    <t>Total Energie
 (P334)</t>
  </si>
  <si>
    <t>Total Energie  (p584)</t>
  </si>
  <si>
    <t>Total Energie
(P670)</t>
  </si>
  <si>
    <t>Total Energie 
(P13)</t>
  </si>
  <si>
    <t>Total Energie (p273)</t>
  </si>
  <si>
    <t>DKV
(Saf VL Sup VL)</t>
  </si>
  <si>
    <t>Total Energie
(P15)</t>
  </si>
  <si>
    <t>DKV (SAFLOG 5)</t>
  </si>
  <si>
    <t>DKV
(Saf Direction)</t>
  </si>
  <si>
    <t>DKV
(Saf Nanterre)</t>
  </si>
  <si>
    <t>DKV (REUIL 006)</t>
  </si>
  <si>
    <t>Total Energie
(P983)</t>
  </si>
  <si>
    <t>TOTAL P485</t>
  </si>
  <si>
    <t>Total Energie
(P374)</t>
  </si>
  <si>
    <t>Total Energie
(P336)</t>
  </si>
  <si>
    <t>DKV (saf log 3)</t>
  </si>
  <si>
    <t>DKV saf ermont 26</t>
  </si>
  <si>
    <t>Total Energie (p830)</t>
  </si>
  <si>
    <t>dkv saf log 1</t>
  </si>
  <si>
    <t>Date ou ref</t>
  </si>
  <si>
    <t>Nom entreprise</t>
  </si>
  <si>
    <t>nom  client</t>
  </si>
  <si>
    <t>SUJET de la Réclamation</t>
  </si>
  <si>
    <t>KN</t>
  </si>
  <si>
    <t>GAETAN DILUCA</t>
  </si>
  <si>
    <t>PAR MAIL</t>
  </si>
  <si>
    <t>Alerte infraction Majd (?)</t>
  </si>
  <si>
    <t>Jean CHAUVEY</t>
  </si>
  <si>
    <r>
      <t>Suite notre échange avec Fouad, je tire la sonnette d’alarme sur la qualité de travail de votre nouveau conducteur</t>
    </r>
    <r>
      <rPr>
        <b/>
        <sz val="12"/>
        <color theme="1"/>
        <rFont val="Aptos Narrow"/>
        <family val="2"/>
        <scheme val="minor"/>
      </rPr>
      <t xml:space="preserve"> </t>
    </r>
    <r>
      <rPr>
        <b/>
        <sz val="12"/>
        <color rgb="FFFF0000"/>
        <rFont val="Aptos Narrow"/>
        <family val="2"/>
        <scheme val="minor"/>
      </rPr>
      <t>Houari</t>
    </r>
    <r>
      <rPr>
        <sz val="12"/>
        <color theme="1"/>
        <rFont val="Aptos Narrow"/>
        <family val="2"/>
        <scheme val="minor"/>
      </rPr>
      <t xml:space="preserve">, temps de chargement, qualité de chargement générant un retour de tournée, tardif et 60% de retour, dont 1 colis ‘’express’’ non chargé et 1 faux CAD
Nous avons convenu avec Fouad que ce conducteur devra être accompagné impérativement à partir de lundi 06/10 jusqu’à qu’il soit aguerri dans les connaissances nécessaires pour effectuer une tournée, ce qui n’est du tout le cas pour le moment. </t>
    </r>
  </si>
  <si>
    <t>Kuehne + Nagel</t>
  </si>
  <si>
    <t>William Correa</t>
  </si>
  <si>
    <t xml:space="preserve">Nous remarquons depuis quelques temps une baisse significative de la qualité de service de nos conducteurs livreurs.
Après analyse, nous avons constaté qu’il y a plusieurs raisons à cette baisse :
Le suivi n’est pas réalisé de manière assez stricte par notre service camionnage. Donc je leur ai demandé de sévir et de ne pas hésiter à faire décharger le conducteur en cas de non-respect des priorités de chargement. Et ce même si la marchandise se trouve au fond du camion.
Certains conducteurs n’ont pas connaissance des priorités de chargement. A vous de les accompagner, afin que la qualité de service contractuelle attendue soit respectée.
 </t>
  </si>
  <si>
    <r>
      <t xml:space="preserve">Je voulais vous faire part de la qualité de livraison de </t>
    </r>
    <r>
      <rPr>
        <b/>
        <sz val="12"/>
        <color rgb="FFFF0000"/>
        <rFont val="Aptos Narrow"/>
        <family val="2"/>
        <scheme val="minor"/>
      </rPr>
      <t>Yousouf</t>
    </r>
    <r>
      <rPr>
        <sz val="12"/>
        <color rgb="FF242424"/>
        <rFont val="Aptos Narrow"/>
        <family val="2"/>
        <scheme val="minor"/>
      </rPr>
      <t xml:space="preserve"> sur la journée du 29/12/2025 ….2 zones industrielles (Cormeilles en parisis et Argenteuil) ; 8 NJU  , 1 faux CAD …..      Cette journée sera impactée au niveau rémunération</t>
    </r>
  </si>
  <si>
    <t>EFFICIENCE MEDECINE DU TRAVAIL SAF LOGISTIQUE</t>
  </si>
  <si>
    <t>EFFICIENCE MEDECINE DU TRAVAIL SAF AT</t>
  </si>
  <si>
    <t>Emploi occupé dans l'etablissement</t>
  </si>
  <si>
    <t>Date sortie de l'entreprise</t>
  </si>
  <si>
    <t>N° PERMIS DE CONDUIRE</t>
  </si>
  <si>
    <t>Dernier RDV Medecine du travail</t>
  </si>
  <si>
    <t>Date prochain RDV</t>
  </si>
  <si>
    <t>Adherent    à la mutuelle</t>
  </si>
  <si>
    <t>FAIRE SIGNER non adhesion A la mutuelle</t>
  </si>
  <si>
    <t xml:space="preserve">Nom </t>
  </si>
  <si>
    <t>Emploi occupé</t>
  </si>
  <si>
    <t>Date de sortie entreprise</t>
  </si>
  <si>
    <t>Dernier rdv Medecine du travail</t>
  </si>
  <si>
    <t>Date prochain rdv</t>
  </si>
  <si>
    <t>Adhérent mutuelle</t>
  </si>
  <si>
    <t>FAIRE SIGNER non adhesion mutuele</t>
  </si>
  <si>
    <t>AYEDI MOKTAR</t>
  </si>
  <si>
    <t>DAB NABIL</t>
  </si>
  <si>
    <t>/</t>
  </si>
  <si>
    <t>il y a 6 ans</t>
  </si>
  <si>
    <t>AKLAL Lahcen</t>
  </si>
  <si>
    <t>23AV2962</t>
  </si>
  <si>
    <t>il y a 1 an</t>
  </si>
  <si>
    <t>il ya 1 an</t>
  </si>
  <si>
    <t>BEN ALI Mokhtar</t>
  </si>
  <si>
    <t>il y a 2 ans</t>
  </si>
  <si>
    <t>il y a 5 ans</t>
  </si>
  <si>
    <t>il y a 4 ans</t>
  </si>
  <si>
    <t>el IDRISSI Rachid</t>
  </si>
  <si>
    <t>KABBOUCHI Jamel</t>
  </si>
  <si>
    <t>21AT03639</t>
  </si>
  <si>
    <t>JARI Saïd</t>
  </si>
  <si>
    <t>19AU66374</t>
  </si>
  <si>
    <t>MENOUER Sadji</t>
  </si>
  <si>
    <t>////</t>
  </si>
  <si>
    <t>OULAIN MUSTAPHA</t>
  </si>
  <si>
    <t>WANBA Christian</t>
  </si>
  <si>
    <t>ZIDANE Mehdi</t>
  </si>
  <si>
    <t>EFFICIENCE MEDECINE DU TRAVAIL SAF LOG</t>
  </si>
  <si>
    <t>KLESIA</t>
  </si>
  <si>
    <t>MAILEVA</t>
  </si>
  <si>
    <t>CIC</t>
  </si>
  <si>
    <t>Date sortie entreprise</t>
  </si>
  <si>
    <t>Dernier rdv</t>
  </si>
  <si>
    <t>LOG?</t>
  </si>
  <si>
    <t>LOGISTIQUE?</t>
  </si>
  <si>
    <t xml:space="preserve">DIALLO Amadou </t>
  </si>
  <si>
    <t xml:space="preserve">        Date validité     Conducteur</t>
  </si>
  <si>
    <t>Piece d'identité</t>
  </si>
  <si>
    <t xml:space="preserve"> Permis de conduire</t>
  </si>
  <si>
    <t>ADR (formation)</t>
  </si>
  <si>
    <t>CARTE DE CONDUCTEUR</t>
  </si>
  <si>
    <t>FCO/FIMO</t>
  </si>
  <si>
    <t>Medecine medicale PERMIS</t>
  </si>
  <si>
    <t>Medecine de travail (EFFICIENCE)</t>
  </si>
  <si>
    <t>N° carte gazoile</t>
  </si>
  <si>
    <t>N° CARTE CONDUCTEUR</t>
  </si>
  <si>
    <t>N° permis</t>
  </si>
  <si>
    <t xml:space="preserve">ABDALLAH Sofiane </t>
  </si>
  <si>
    <t xml:space="preserve">   DKV (Saf bezon 1019) Total Energie (p012)    </t>
  </si>
  <si>
    <t>20AP29077</t>
  </si>
  <si>
    <t>BENALLOU Mohammed</t>
  </si>
  <si>
    <t>Total Energie (P752)</t>
  </si>
  <si>
    <t xml:space="preserve"> BOUKZINE Mouloud</t>
  </si>
  <si>
    <t>O6/12/2026</t>
  </si>
  <si>
    <t>DKV SAF log 2</t>
  </si>
  <si>
    <t>DKV (SAF 17 TRACTEUR 2)</t>
  </si>
  <si>
    <t xml:space="preserve"> JARI Saïd</t>
  </si>
  <si>
    <t>DKV (saf Bezon 1019)</t>
  </si>
  <si>
    <t xml:space="preserve">MADJID Abderrahmane </t>
  </si>
  <si>
    <t>19AV66374</t>
  </si>
  <si>
    <t xml:space="preserve">24/02/2030
</t>
  </si>
  <si>
    <t>DKV (saf Erhont 26)</t>
  </si>
  <si>
    <t>OULAIN Moustapha</t>
  </si>
  <si>
    <t>DKV Saf log 1</t>
  </si>
  <si>
    <t>25A041094</t>
  </si>
  <si>
    <t xml:space="preserve">Konate Youssouf </t>
  </si>
  <si>
    <t>Majd Rachid</t>
  </si>
  <si>
    <t>GHANDOUR ABDALLAH</t>
  </si>
  <si>
    <t>iDRISSI Rachid</t>
  </si>
  <si>
    <t>GOMIS YOHAN</t>
  </si>
  <si>
    <t>A PROGRAMMER EN 2026</t>
  </si>
  <si>
    <t>EN REGLE</t>
  </si>
  <si>
    <t>URGENT</t>
  </si>
  <si>
    <t>Chauffeur</t>
  </si>
  <si>
    <t>Permis de conduire</t>
  </si>
  <si>
    <t>ADR</t>
  </si>
  <si>
    <t>Carte conducteur</t>
  </si>
  <si>
    <t>FCO/FIMO (CQC)</t>
  </si>
  <si>
    <t>Dernier delai Visite médical</t>
  </si>
  <si>
    <t>ABDALLAH KHALED</t>
  </si>
  <si>
    <t>KONATE YOUSSOUF</t>
  </si>
  <si>
    <t>DIALLO MAMADOU</t>
  </si>
  <si>
    <t>WAMBA CHRISTIAN</t>
  </si>
  <si>
    <t>BOUKZINE MOULOUD</t>
  </si>
  <si>
    <t>Numéro de téléphone</t>
  </si>
  <si>
    <t>Plaque Vehicule</t>
  </si>
  <si>
    <t>06 58 70 93 60</t>
  </si>
  <si>
    <t>BL-336-PV</t>
  </si>
  <si>
    <t>BE-507-CV</t>
  </si>
  <si>
    <t>BR-089-S2</t>
  </si>
  <si>
    <t>EB-007-HR</t>
  </si>
  <si>
    <t>AK-768-JX</t>
  </si>
  <si>
    <t>AW-639-HL</t>
  </si>
  <si>
    <t>CH-398-HL</t>
  </si>
  <si>
    <t>DF-314-VL</t>
  </si>
  <si>
    <t>DRAME ABDOU</t>
  </si>
  <si>
    <t>EP-374-FW</t>
  </si>
  <si>
    <t>IDRISSI Rachid</t>
  </si>
  <si>
    <t>CT-529-GA</t>
  </si>
  <si>
    <t>06 46 18 04 69</t>
  </si>
  <si>
    <t>DB-670-SD</t>
  </si>
  <si>
    <t>GARONOR</t>
  </si>
  <si>
    <t>FJ-592-MB</t>
  </si>
  <si>
    <t>06 65 06 05 63</t>
  </si>
  <si>
    <t>EC-521-HX</t>
  </si>
  <si>
    <t>CB-631-JN</t>
  </si>
  <si>
    <t>Geodis</t>
  </si>
  <si>
    <t>BF-519-WT</t>
  </si>
  <si>
    <t>06 73 80 75 93</t>
  </si>
  <si>
    <t>DL-779-DS</t>
  </si>
  <si>
    <t>CENTRAL EXPRESS</t>
  </si>
  <si>
    <t>CS -830 - NH</t>
  </si>
  <si>
    <t>AC-013-YA</t>
  </si>
  <si>
    <t xml:space="preserve"> Organisme</t>
  </si>
  <si>
    <t>Lien</t>
  </si>
  <si>
    <t xml:space="preserve">Identifiant </t>
  </si>
  <si>
    <t>MDP</t>
  </si>
  <si>
    <t>N°client</t>
  </si>
  <si>
    <t>NUMERO TEL</t>
  </si>
  <si>
    <t>Total Energie (mobility business)</t>
  </si>
  <si>
    <t>www.mobility.totalenergies.com</t>
  </si>
  <si>
    <t>saflogistique@hotmail.com</t>
  </si>
  <si>
    <t>Saflog@20242025</t>
  </si>
  <si>
    <t>www.dkv-mobility.com</t>
  </si>
  <si>
    <t>Infogreffe</t>
  </si>
  <si>
    <t>www.infogreffe.fr</t>
  </si>
  <si>
    <t xml:space="preserve">  </t>
  </si>
  <si>
    <t>Bouygues Telecom</t>
  </si>
  <si>
    <t>www.bouyguestelecom.fr</t>
  </si>
  <si>
    <t>gedtrans saf logistique</t>
  </si>
  <si>
    <t>www.gedtrans.com</t>
  </si>
  <si>
    <t>GEDTRANS LOG</t>
  </si>
  <si>
    <t>saf.logabd@gmail.com</t>
  </si>
  <si>
    <t xml:space="preserve"> </t>
  </si>
  <si>
    <t>AXXES</t>
  </si>
  <si>
    <t>www.axxes.fr</t>
  </si>
  <si>
    <t>ANTS</t>
  </si>
  <si>
    <t>www.ants.gouv.fr</t>
  </si>
  <si>
    <t>N°SIRET</t>
  </si>
  <si>
    <t>AbdallahSofiane@1985</t>
  </si>
  <si>
    <t>VT WEB contrôle technique</t>
  </si>
  <si>
    <t>www.vtweb.org</t>
  </si>
  <si>
    <t>SAF</t>
  </si>
  <si>
    <t>Andco transport</t>
  </si>
  <si>
    <t>www.andcotransport.com</t>
  </si>
  <si>
    <t>Mutuelle</t>
  </si>
  <si>
    <t>0388253030</t>
  </si>
  <si>
    <t>OPCO Mobilité</t>
  </si>
  <si>
    <t>www.opcomobilites.fr</t>
  </si>
  <si>
    <t>D4S</t>
  </si>
  <si>
    <t>www.dbschenker.com</t>
  </si>
  <si>
    <t>Efficience santé au travail</t>
  </si>
  <si>
    <t>www.efficience-santeautravail.org</t>
  </si>
  <si>
    <t>NET entreprise</t>
  </si>
  <si>
    <t>www.net-entreprises.fr</t>
  </si>
  <si>
    <t>SIRET</t>
  </si>
  <si>
    <t>central directe</t>
  </si>
  <si>
    <t>www.centrale-directe.com</t>
  </si>
  <si>
    <t>saf.attabd@gmail.com</t>
  </si>
  <si>
    <t>Direction@2025</t>
  </si>
  <si>
    <t xml:space="preserve">web fleet </t>
  </si>
  <si>
    <t>www.webfleet.com</t>
  </si>
  <si>
    <t>admin</t>
  </si>
  <si>
    <t>Abdallahsofiane@1985</t>
  </si>
  <si>
    <t>logistique-Wjg</t>
  </si>
  <si>
    <t>SFR</t>
  </si>
  <si>
    <t>www.sfr.fr</t>
  </si>
  <si>
    <t xml:space="preserve">KM Parts </t>
  </si>
  <si>
    <t>www.kmparts.de/</t>
  </si>
  <si>
    <t>Tradeshift Kuehne Nagel</t>
  </si>
  <si>
    <t>go.tradeshift.com</t>
  </si>
  <si>
    <t>Mail Saf Logistique</t>
  </si>
  <si>
    <t>Mail Saf Log</t>
  </si>
  <si>
    <t>https://mail.google.com/mail/u/1/</t>
  </si>
  <si>
    <t>saflogabd@gmail.com</t>
  </si>
  <si>
    <t>Direction@2026</t>
  </si>
  <si>
    <t>Mail Saf At</t>
  </si>
  <si>
    <t>https://mail.google.com/mail/u/0/</t>
  </si>
  <si>
    <t>ALL hotel</t>
  </si>
  <si>
    <t>www.all.accor.com</t>
  </si>
  <si>
    <t>PC B</t>
  </si>
  <si>
    <t>Sofiane2025</t>
  </si>
  <si>
    <t>Regate-Saflogistiuqe</t>
  </si>
  <si>
    <t>https://web.regate.io/signin</t>
  </si>
  <si>
    <t>Regate-SafAT</t>
  </si>
  <si>
    <t>Regate-SafLog</t>
  </si>
  <si>
    <t xml:space="preserve">https://web.regate.io/signin </t>
  </si>
  <si>
    <t>Direction2025</t>
  </si>
  <si>
    <t>Aliexpress</t>
  </si>
  <si>
    <t>fr.aliexpress.com</t>
  </si>
  <si>
    <t xml:space="preserve">Direction2025 </t>
  </si>
  <si>
    <t xml:space="preserve">Hermes </t>
  </si>
  <si>
    <t>https://www.hermesapps.com/HermesApps.aspx</t>
  </si>
  <si>
    <t xml:space="preserve">Bureau vallée </t>
  </si>
  <si>
    <t xml:space="preserve">leboncoin </t>
  </si>
  <si>
    <t xml:space="preserve">Sanef </t>
  </si>
  <si>
    <t>https://www.sanef.com/client</t>
  </si>
  <si>
    <t>Autoroute00213?</t>
  </si>
  <si>
    <t>klesia</t>
  </si>
  <si>
    <t xml:space="preserve">Medisafe </t>
  </si>
  <si>
    <t>Assurance CIC Mutuelle</t>
  </si>
  <si>
    <t>www.cic.fr/fr/particuliers/assurance/fonctionnalites-sante-en-ligne.html</t>
  </si>
  <si>
    <t>HL</t>
  </si>
  <si>
    <t xml:space="preserve">DKV Saf log </t>
  </si>
  <si>
    <t xml:space="preserve">Epson </t>
  </si>
  <si>
    <t>Adresse mail pour imprimer sur l'imprimante epson</t>
  </si>
  <si>
    <t>qxg2265xqajpx1@print.epsonconnect.com</t>
  </si>
  <si>
    <t xml:space="preserve">France travail SAF AT </t>
  </si>
  <si>
    <t>Regate</t>
  </si>
  <si>
    <r>
      <t xml:space="preserve">Mail Regate fournisseur ( </t>
    </r>
    <r>
      <rPr>
        <b/>
        <sz val="22"/>
        <color theme="1"/>
        <rFont val="Aptos Narrow"/>
        <family val="2"/>
        <scheme val="minor"/>
      </rPr>
      <t xml:space="preserve">Achat </t>
    </r>
    <r>
      <rPr>
        <sz val="20"/>
        <color theme="1"/>
        <rFont val="Aptos Narrow"/>
        <family val="2"/>
        <scheme val="minor"/>
      </rPr>
      <t xml:space="preserve">)  </t>
    </r>
  </si>
  <si>
    <r>
      <t xml:space="preserve"> Mail Regate Facture client (</t>
    </r>
    <r>
      <rPr>
        <b/>
        <sz val="22"/>
        <color theme="1"/>
        <rFont val="Aptos Narrow"/>
        <family val="2"/>
        <scheme val="minor"/>
      </rPr>
      <t xml:space="preserve">Vente </t>
    </r>
    <r>
      <rPr>
        <sz val="20"/>
        <color theme="1"/>
        <rFont val="Aptos Narrow"/>
        <family val="2"/>
        <scheme val="minor"/>
      </rPr>
      <t>)</t>
    </r>
  </si>
  <si>
    <t>saf-logistique+1@app.regate.io</t>
  </si>
  <si>
    <t>saf-logistique+1+customer@app.regate.io</t>
  </si>
  <si>
    <t>saf-log@app.regate.io</t>
  </si>
  <si>
    <t>saf-log+customer@app.regate.io</t>
  </si>
  <si>
    <t>SAF AT</t>
  </si>
  <si>
    <t>saf-at@app.regate.io</t>
  </si>
  <si>
    <t>saf-at+customer@app.regate.io</t>
  </si>
  <si>
    <t>Immatriculation voiture</t>
  </si>
  <si>
    <t>Assurance</t>
  </si>
  <si>
    <t>Compagnie</t>
  </si>
  <si>
    <t>Hermann Celikian</t>
  </si>
  <si>
    <t>AXA</t>
  </si>
  <si>
    <t>AW-639-SE</t>
  </si>
  <si>
    <t>BF-304-TQ</t>
  </si>
  <si>
    <t>DS-920-PV</t>
  </si>
  <si>
    <t>SAF-LOG</t>
  </si>
  <si>
    <t>SAF -LOG</t>
  </si>
  <si>
    <t>CL-231-LX</t>
  </si>
  <si>
    <t>ALLIANZ</t>
  </si>
  <si>
    <t>AD- 815-GW</t>
  </si>
  <si>
    <t>CS- 830-NH</t>
  </si>
  <si>
    <t>SAF-AT</t>
  </si>
  <si>
    <t>FF-687-FS</t>
  </si>
  <si>
    <t>MMA</t>
  </si>
  <si>
    <t>EB-007-HK</t>
  </si>
  <si>
    <t>BZ-627-AM</t>
  </si>
  <si>
    <t>Immatriculation</t>
  </si>
  <si>
    <t>Contrôle technique</t>
  </si>
  <si>
    <t>Limiteur de vitesse</t>
  </si>
  <si>
    <t>Tachygraphe</t>
  </si>
  <si>
    <t>envoyer un message le 01/12</t>
  </si>
  <si>
    <t>RACHID MAJD</t>
  </si>
  <si>
    <t>MOHAMED BENALLOU</t>
  </si>
  <si>
    <t>BENACHOUR</t>
  </si>
  <si>
    <t>ER-089-SZ</t>
  </si>
  <si>
    <t xml:space="preserve">EDDY </t>
  </si>
  <si>
    <t>AK-768-GX</t>
  </si>
  <si>
    <t>AD-815-GW</t>
  </si>
  <si>
    <t>CT-529-CA</t>
  </si>
  <si>
    <t>WANBA MINDU Christian</t>
  </si>
  <si>
    <t>CS-830-NH</t>
  </si>
  <si>
    <t>KHALED</t>
  </si>
  <si>
    <t>VL</t>
  </si>
  <si>
    <t>LIMITEUR</t>
  </si>
  <si>
    <t>TACHY + CT</t>
  </si>
  <si>
    <t>BZ-633-CG</t>
  </si>
  <si>
    <t>Cartes Gasoil-SAF LOGISTIQUE</t>
  </si>
  <si>
    <t>Licence intra-communautaire</t>
  </si>
  <si>
    <t>Cartes Gasoil-SAFLOG</t>
  </si>
  <si>
    <t>Carte gasoil</t>
  </si>
  <si>
    <t>Licence</t>
  </si>
  <si>
    <t>Plaque</t>
  </si>
  <si>
    <t>0004</t>
  </si>
  <si>
    <t>DKV (SAF LOG5)</t>
  </si>
  <si>
    <t>DKV (DIRECTION 3)              TOTAL ENERGIE (DIRECTION 12]</t>
  </si>
  <si>
    <t xml:space="preserve">PAS DE LICENCE FIXE </t>
  </si>
  <si>
    <t>PAS DE CAMIONS FIXE</t>
  </si>
  <si>
    <t>Dkv (direction 2)</t>
  </si>
  <si>
    <t>0002</t>
  </si>
  <si>
    <t>TOTAL (Fontenay en p 584)</t>
  </si>
  <si>
    <t>0015</t>
  </si>
  <si>
    <t>DT-392-ED</t>
  </si>
  <si>
    <t>MOUSTAINE-EL-iDRISSI Rachid</t>
  </si>
  <si>
    <t>TOTAL ENERGIE (SAF LOG A)</t>
  </si>
  <si>
    <t>0007</t>
  </si>
  <si>
    <t>TOTAL (Fontenay en p 13)</t>
  </si>
  <si>
    <t>DKV (SAF LOG 8)</t>
  </si>
  <si>
    <t>0006</t>
  </si>
  <si>
    <t>DKV (SAF ERMONT 26 )</t>
  </si>
  <si>
    <t>0010</t>
  </si>
  <si>
    <t xml:space="preserve"> DKV (SAF LOG 1)</t>
  </si>
  <si>
    <t>0003</t>
  </si>
  <si>
    <t>DKV (Saf direction)</t>
  </si>
  <si>
    <t>DF 314 VL</t>
  </si>
  <si>
    <t>BENALLOU MOHAMMED</t>
  </si>
  <si>
    <t>DKV (SAF LOG 7)</t>
  </si>
  <si>
    <t>0009</t>
  </si>
  <si>
    <t>TOTAL ENERGIE (SAF LOG B)</t>
  </si>
  <si>
    <t>0008</t>
  </si>
  <si>
    <t>TOTAL (Fontenay en p 485)            DKV (DIRECTION 1)</t>
  </si>
  <si>
    <t xml:space="preserve">   </t>
  </si>
  <si>
    <t>TOTAL (Fontenay en p 273)</t>
  </si>
  <si>
    <t>DKV( SAF 17 TRACTEUR 2)</t>
  </si>
  <si>
    <t>0001</t>
  </si>
  <si>
    <t>Abdallah fouad</t>
  </si>
  <si>
    <t xml:space="preserve">TOTAL (Fontenay en p 815)                  </t>
  </si>
  <si>
    <t>COSTEL-Alin</t>
  </si>
  <si>
    <t>DKV (SAF LOG 6)</t>
  </si>
  <si>
    <t>GHANDOUR Abdallah</t>
  </si>
  <si>
    <t>TOTAL (Fontenay en p 670)</t>
  </si>
  <si>
    <t>TOTAL</t>
  </si>
  <si>
    <t>17 licences + 1 licence VL</t>
  </si>
  <si>
    <t>l</t>
  </si>
  <si>
    <t xml:space="preserve">Planning Netoyage </t>
  </si>
  <si>
    <t xml:space="preserve">Jours </t>
  </si>
  <si>
    <t xml:space="preserve">Mokhtar Toli </t>
  </si>
  <si>
    <t>Rafik</t>
  </si>
  <si>
    <t>Kader</t>
  </si>
  <si>
    <t>Lounes</t>
  </si>
  <si>
    <t xml:space="preserve">Lundi </t>
  </si>
  <si>
    <t>Mardi</t>
  </si>
  <si>
    <t xml:space="preserve">Poubelle jaune </t>
  </si>
  <si>
    <t>Mercredi</t>
  </si>
  <si>
    <t>Jeudi</t>
  </si>
  <si>
    <t xml:space="preserve">Netoyage Vestiaire </t>
  </si>
  <si>
    <t xml:space="preserve">Poubelle Rouge </t>
  </si>
  <si>
    <t>Vendredi</t>
  </si>
  <si>
    <t>Samedi</t>
  </si>
  <si>
    <t xml:space="preserve">Dates </t>
  </si>
  <si>
    <t>Mokhtar Mecano</t>
  </si>
  <si>
    <t>Service</t>
  </si>
  <si>
    <t xml:space="preserve">Repos </t>
  </si>
  <si>
    <t xml:space="preserve">Dimanche </t>
  </si>
  <si>
    <t xml:space="preserve">Conseil à la securité </t>
  </si>
  <si>
    <t>Certification ADR</t>
  </si>
  <si>
    <t xml:space="preserve">Plaque </t>
  </si>
  <si>
    <t>N°Licence</t>
  </si>
  <si>
    <t>Carte Grise Photocopiée</t>
  </si>
  <si>
    <t>Pas de vehicule/site fixe</t>
  </si>
  <si>
    <t>0002 (VL)</t>
  </si>
  <si>
    <t>NON</t>
  </si>
  <si>
    <t>Pas licence</t>
  </si>
  <si>
    <t>GHANDOUR</t>
  </si>
  <si>
    <t>Garonor (1407)</t>
  </si>
  <si>
    <t>07 53 65 01  00</t>
  </si>
  <si>
    <t>0001 (VL)</t>
  </si>
  <si>
    <t>Chenhaoui</t>
  </si>
  <si>
    <t>0017</t>
  </si>
  <si>
    <t>DOUZI</t>
  </si>
  <si>
    <t>Rachid chenhaoui</t>
  </si>
  <si>
    <t>0016</t>
  </si>
  <si>
    <t>ZIDANE</t>
  </si>
  <si>
    <t>MAJD</t>
  </si>
  <si>
    <t>BETTIOUI</t>
  </si>
  <si>
    <t>DJEFFAL</t>
  </si>
  <si>
    <t xml:space="preserve">Garage </t>
  </si>
  <si>
    <t>0005</t>
  </si>
  <si>
    <t>JARI</t>
  </si>
  <si>
    <t>Abdo Drame</t>
  </si>
  <si>
    <t>Eddy BRILLANT</t>
  </si>
  <si>
    <t>Garage</t>
  </si>
  <si>
    <t>IDRISSI</t>
  </si>
  <si>
    <t>MADJID</t>
  </si>
  <si>
    <t xml:space="preserve">Garage + Chatou </t>
  </si>
  <si>
    <t>0011</t>
  </si>
  <si>
    <t>WANBA-MINDU Christian</t>
  </si>
  <si>
    <t>CHENHAOUI</t>
  </si>
  <si>
    <t>EPONE-POISSY</t>
  </si>
  <si>
    <t>KARRADA</t>
  </si>
  <si>
    <t>Diallo</t>
  </si>
  <si>
    <t>Benallou</t>
  </si>
  <si>
    <t>DX-485-WV</t>
  </si>
  <si>
    <t>Epone</t>
  </si>
  <si>
    <t>AKLAL</t>
  </si>
  <si>
    <t>En cas de problème, veuillez contacter ABDALLAH Fouad ou ABDALLAH Sofiane et MADJID Abdarrahmane merci.</t>
  </si>
  <si>
    <t>Vidanges</t>
  </si>
  <si>
    <t>Double des clefs</t>
  </si>
  <si>
    <t>Limiteur</t>
  </si>
  <si>
    <t>Contrôle Technique</t>
  </si>
  <si>
    <t>Valise ADR</t>
  </si>
  <si>
    <t>Etiquette angles Morts</t>
  </si>
  <si>
    <t>Tachy</t>
  </si>
  <si>
    <t>Reparation</t>
  </si>
  <si>
    <t>Coin droit du toit casser ainsi que visse sur la remorque     Retroviseur coter passager, Etiquette angles morts, Pneus devants lisses, Clignotant coter conducteur casser, Plaque en bois casser caisse, Fuite d'eau , Rideau a graisser, Bois a fixer dans la caisse, Barre d'encastrement laterale coter conducteur Souflet de levier de vitesse</t>
  </si>
  <si>
    <t>Reparation+G2:G26</t>
  </si>
  <si>
    <t xml:space="preserve">A FAIRE </t>
  </si>
  <si>
    <t xml:space="preserve">Carroserie du phare coter conducteur casser, un dos d'ane est former dans la caisse a cause d'une mauvaise soudure, Barre pour attacher les palettes a installer des deux coter  </t>
  </si>
  <si>
    <t>Masque expiré</t>
  </si>
  <si>
    <t xml:space="preserve">Marche pied coter passager, Pneu avant a refaire ainsi que l'arriere coter conducteur,Mettre un pomeau de vitesse, Feux et plaque d'imatriculation a reparer, Pneu arriere creuvé, telecommande hayon et probleme de clef au niveau du demarrage </t>
  </si>
  <si>
    <t>Peinture de la caisse Changement les pneus  Rétro principal côté chauffeur  Vérification de toit  Mettre vignette Contrôle Technique  vois avec Contrôle Bahu</t>
  </si>
  <si>
    <t>Pneus avant et arriere a changer, Toit trouer, Boite a vitesse a revoire elle craque</t>
  </si>
  <si>
    <t>La caisse a des trous et sa cause des fuites (trous a reboucher) -  Rideau a revoir, Etiquette angles morts- Repeindre en blanc</t>
  </si>
  <si>
    <t xml:space="preserve">Marche pied coter conducteur Boite de vitesse a revoir elle lache en deuxieme , ressort hayon, Bas de caisse a redraisser Retro coter passager casser </t>
  </si>
  <si>
    <t>Coin de par choc coter passage a fixer, defaut lampe,marche pied a changer coter chauffeur, refaire la peinture de la calandre</t>
  </si>
  <si>
    <t xml:space="preserve">Retroviseur casser, Pneu avant gauche commence a etre lisse, Porte de la caisse confler a reparer, Pneu arriere gauche fissuré, hayon a revoir pas fluide et une  petite fissure sur la caisse coter passager </t>
  </si>
  <si>
    <t>RDV le 04/8/2025 Controle BAHU</t>
  </si>
  <si>
    <t>RDV le 21/22 âout      Chrono Service</t>
  </si>
  <si>
    <t>Fuite au niveau du ballon d'air, Commande de climatisuer ,part-choc avant</t>
  </si>
  <si>
    <t>Rien a prevoir (d'apres DOUZI)</t>
  </si>
  <si>
    <t>Probleme de boite de vitesse</t>
  </si>
  <si>
    <t>Rien a prevoir (d'apres rabah)</t>
  </si>
  <si>
    <t>Mettre 2 triangle</t>
  </si>
  <si>
    <t xml:space="preserve">Probleme de tirage et la caisse, le reservoir deau qui se vide durite percée </t>
  </si>
  <si>
    <t xml:space="preserve">Carroserie a coter du marche pied fissurer, frein de park qui n'arrete pas de sonner, garde boue arriere coter passager casser, Par choc fissurer </t>
  </si>
  <si>
    <t xml:space="preserve">Retro casser </t>
  </si>
  <si>
    <t>RDV le 14/08 à 15:00</t>
  </si>
  <si>
    <t xml:space="preserve">Porte qui souvre que de l'exterieure, Souder la barre de la caisse, Des trous mineures sur le plafond </t>
  </si>
  <si>
    <t>Radiateur a netoyer, Plaquette de frein,Barre dencastrement laterale a redraisser et fixer, Carroserie a coter du cale pied casser coter passager verifier ABS et ESP</t>
  </si>
  <si>
    <t xml:space="preserve">Hayon, verifier les feux avant et arriere, verification filtration vidange </t>
  </si>
  <si>
    <t xml:space="preserve">Vidange a faire, Plaquette de frein avant et arriere </t>
  </si>
  <si>
    <t xml:space="preserve">Caisse avec une grosse fissure, Peindre en blanc </t>
  </si>
  <si>
    <t xml:space="preserve">Retro coter conducteur casser, Pneu avant droit lisse, Souflet de levier de vitesse, , ressort camion casser et caisse a linterieure </t>
  </si>
  <si>
    <t>Chauffeur Geodis</t>
  </si>
  <si>
    <t>Plaque Camion</t>
  </si>
  <si>
    <t xml:space="preserve"> Kit mis dans le camion </t>
  </si>
  <si>
    <t xml:space="preserve">Signature chauffeur </t>
  </si>
  <si>
    <t>Plaque du vehicule : __________________</t>
  </si>
  <si>
    <t>Date</t>
  </si>
  <si>
    <t>Observation</t>
  </si>
  <si>
    <t>Contrôle par le bureau</t>
  </si>
  <si>
    <t>Valise ADR (K+N) (garonor/ epone)</t>
  </si>
  <si>
    <t>Plancher</t>
  </si>
  <si>
    <t>Graissage HAYON + Pivot</t>
  </si>
  <si>
    <t>Toit</t>
  </si>
  <si>
    <t>Pneus</t>
  </si>
  <si>
    <t>Niveau : Huile/Lave glace/Refroidisement</t>
  </si>
  <si>
    <t>Etiquette angles morts</t>
  </si>
  <si>
    <t>Document vehicules</t>
  </si>
  <si>
    <t>Signature Eddy</t>
  </si>
  <si>
    <t>Signature Mokthar</t>
  </si>
  <si>
    <t>JANVIER</t>
  </si>
  <si>
    <t>FEVRIER</t>
  </si>
  <si>
    <t>MARS</t>
  </si>
  <si>
    <t>AVRIL</t>
  </si>
  <si>
    <t>MAI</t>
  </si>
  <si>
    <t>JUIN</t>
  </si>
  <si>
    <t>JUILLET</t>
  </si>
  <si>
    <t>AOUT</t>
  </si>
  <si>
    <t>SEPTEMBRE</t>
  </si>
  <si>
    <t>OCTOBRE</t>
  </si>
  <si>
    <t>NOVEMBRE</t>
  </si>
  <si>
    <t>DECEMBRE</t>
  </si>
  <si>
    <t>ABDALLAH FOUAD</t>
  </si>
  <si>
    <t>1 i</t>
  </si>
  <si>
    <t xml:space="preserve"> 1 i</t>
  </si>
  <si>
    <t>3 i</t>
  </si>
  <si>
    <r>
      <t xml:space="preserve">4 a  </t>
    </r>
    <r>
      <rPr>
        <b/>
        <sz val="11"/>
        <color rgb="FFFF0000"/>
        <rFont val="Arial"/>
        <family val="2"/>
      </rPr>
      <t xml:space="preserve"> 0i</t>
    </r>
  </si>
  <si>
    <t>i =infraction</t>
  </si>
  <si>
    <t>ABDALLAH SOFIANE</t>
  </si>
  <si>
    <t>1i    4a</t>
  </si>
  <si>
    <t>a=anomalie</t>
  </si>
  <si>
    <t>AKLAL LAHCEN</t>
  </si>
  <si>
    <t>2a</t>
  </si>
  <si>
    <t>1i  1 a</t>
  </si>
  <si>
    <t>BENACHOUR KAMEL</t>
  </si>
  <si>
    <t>2 i 6 a</t>
  </si>
  <si>
    <t>BETTIOUI BADR</t>
  </si>
  <si>
    <t>4a</t>
  </si>
  <si>
    <t>4 i</t>
  </si>
  <si>
    <t>X</t>
  </si>
  <si>
    <t>1a 1i</t>
  </si>
  <si>
    <t>BOUZKINE MOULOUD</t>
  </si>
  <si>
    <t xml:space="preserve">3 i </t>
  </si>
  <si>
    <t>BRILLANT EDDY</t>
  </si>
  <si>
    <t>2 i</t>
  </si>
  <si>
    <t>CHENHAOUI RACHID</t>
  </si>
  <si>
    <t>2 ano</t>
  </si>
  <si>
    <t>DAHDOUD ABDELHADI</t>
  </si>
  <si>
    <t>1 ano</t>
  </si>
  <si>
    <t>1i 1ano</t>
  </si>
  <si>
    <t>DOUZI MOHAMMED</t>
  </si>
  <si>
    <t>IDRISSI RACHID</t>
  </si>
  <si>
    <t>KABBOUCHI JAMEL</t>
  </si>
  <si>
    <t>3 i 1a</t>
  </si>
  <si>
    <t xml:space="preserve">1a </t>
  </si>
  <si>
    <t>3ano</t>
  </si>
  <si>
    <t>KARRADA YOUSEF</t>
  </si>
  <si>
    <t xml:space="preserve">JARI SAID </t>
  </si>
  <si>
    <t>x</t>
  </si>
  <si>
    <t>MADJID ABDERRAHMANE</t>
  </si>
  <si>
    <t>9a</t>
  </si>
  <si>
    <t>MAJD RACHID</t>
  </si>
  <si>
    <t>WANBA-MINDU CHRISTIAN</t>
  </si>
  <si>
    <t>Drame Abdou</t>
  </si>
  <si>
    <t>Date des controles à effectuer (JUIN 2025)</t>
  </si>
  <si>
    <t>Véhicule</t>
  </si>
  <si>
    <t>Date prévue Entrée au garage</t>
  </si>
  <si>
    <t>Véhicule de remplacement</t>
  </si>
  <si>
    <t>Contrôle technique (VT - WEB) (ctrl Bahu)</t>
  </si>
  <si>
    <t>Contrôle Tachygraphe (avec RDV)</t>
  </si>
  <si>
    <t>Limiteur (sans RDV - prevenir à l'avance)</t>
  </si>
  <si>
    <t xml:space="preserve">prestataire du contrôle limiteur et tachy </t>
  </si>
  <si>
    <t>Pas besoin</t>
  </si>
  <si>
    <t xml:space="preserve">5 âout </t>
  </si>
  <si>
    <t>21/22 âout  14h00</t>
  </si>
  <si>
    <t>SD Kronos RDV</t>
  </si>
  <si>
    <t>RDV Obligatoire</t>
  </si>
  <si>
    <t>21/08 à 15:00</t>
  </si>
  <si>
    <t>21/8 a 13:30</t>
  </si>
  <si>
    <t>Chrono+ Gonesse</t>
  </si>
  <si>
    <t>SD Kronos</t>
  </si>
  <si>
    <t>A remettre a EDDY</t>
  </si>
  <si>
    <t xml:space="preserve">ETATS DES AMENDES SAF LOGISTIQUE </t>
  </si>
  <si>
    <t>DATE</t>
  </si>
  <si>
    <t>LIEU</t>
  </si>
  <si>
    <t>IMMATRICULE</t>
  </si>
  <si>
    <t>DESCRIPTIF INFRACTION</t>
  </si>
  <si>
    <t>NUMERO DE L'AVIS</t>
  </si>
  <si>
    <t>MONTANT A REGLER</t>
  </si>
  <si>
    <t>ETAT DE PAIEMENT</t>
  </si>
  <si>
    <t>ETAT DOSSIER</t>
  </si>
  <si>
    <t>SIREN</t>
  </si>
  <si>
    <t>Genre</t>
  </si>
  <si>
    <t>Marque</t>
  </si>
  <si>
    <t>Appellation commerciale</t>
  </si>
  <si>
    <t>Tonnage</t>
  </si>
  <si>
    <t>Puissance</t>
  </si>
  <si>
    <t>Cylindrée</t>
  </si>
  <si>
    <t>Nombre de places</t>
  </si>
  <si>
    <t>Catégorie de révision</t>
  </si>
  <si>
    <t>Type de propriété</t>
  </si>
  <si>
    <t>Mode d'achat</t>
  </si>
  <si>
    <t>Valeur assurée HT</t>
  </si>
  <si>
    <t>Télématique</t>
  </si>
  <si>
    <t>Reférence client</t>
  </si>
  <si>
    <t>Garantie assistance</t>
  </si>
  <si>
    <t>Date de Mise en circulation</t>
  </si>
  <si>
    <t>Etat des véhicules</t>
  </si>
  <si>
    <t>Date d’entrée</t>
  </si>
  <si>
    <t>Date de sortie</t>
  </si>
  <si>
    <t>Présence matière dangereuse</t>
  </si>
  <si>
    <t>Camion</t>
  </si>
  <si>
    <t>MERCEDES</t>
  </si>
  <si>
    <t>11,9 t</t>
  </si>
  <si>
    <t>0 cv</t>
  </si>
  <si>
    <t>0 cm3</t>
  </si>
  <si>
    <t>Exploitation</t>
  </si>
  <si>
    <t>Autre</t>
  </si>
  <si>
    <t>Non</t>
  </si>
  <si>
    <t>ATEGO</t>
  </si>
  <si>
    <t>12,0 t</t>
  </si>
  <si>
    <t>Véhicule utilitaire</t>
  </si>
  <si>
    <t>MERCEDES BENZ</t>
  </si>
  <si>
    <t>SPRINTE</t>
  </si>
  <si>
    <t>0,0 t</t>
  </si>
  <si>
    <t>7 cv</t>
  </si>
  <si>
    <t>.</t>
  </si>
  <si>
    <t>10,5 t</t>
  </si>
  <si>
    <t>Tracteur Routier</t>
  </si>
  <si>
    <t>RENAULT</t>
  </si>
  <si>
    <t>PREMIUM</t>
  </si>
  <si>
    <t>19,0 t</t>
  </si>
  <si>
    <t>Liste du personnel affecté à la conduite des véhicules</t>
  </si>
  <si>
    <t>DECEMBRE 2025</t>
  </si>
  <si>
    <t>ABDALLAH KHALED congé+sortie</t>
  </si>
  <si>
    <t>FOUAD ABDALLAH</t>
  </si>
  <si>
    <t>NIAKATE MAMADOU (3jours)</t>
  </si>
  <si>
    <t xml:space="preserve">PLANING TOURNEE-DECEMBRE 2025 </t>
  </si>
  <si>
    <t>JOURNEES DE TRAVAIL</t>
  </si>
  <si>
    <t>TOURNEE</t>
  </si>
  <si>
    <t xml:space="preserve">05/01 et du 08/01 au 09/01 </t>
  </si>
  <si>
    <t>1013 kuhne nagel Epone</t>
  </si>
  <si>
    <t>CHAUFFEURS</t>
  </si>
  <si>
    <t>01/12 AU 24/12</t>
  </si>
  <si>
    <t>EPÖNE/1029</t>
  </si>
  <si>
    <t>15/01 et 25/01</t>
  </si>
  <si>
    <t>29/12 AU 31/12:mise à disposition, déplacement VH entre les sites</t>
  </si>
  <si>
    <t>01/12 AU 31/12</t>
  </si>
  <si>
    <t>GEODIS-095174</t>
  </si>
  <si>
    <t>01/12  AU 31/12</t>
  </si>
  <si>
    <t>GEODIS-95237</t>
  </si>
  <si>
    <t>01/12 au 24/12</t>
  </si>
  <si>
    <t>GEODIS-095238 ET CPED8-095</t>
  </si>
  <si>
    <t>01/12 AU 10/12</t>
  </si>
  <si>
    <t>VL EPÖNE</t>
  </si>
  <si>
    <t>02/01 au 13/01</t>
  </si>
  <si>
    <t>12/12/2025:Renfort</t>
  </si>
  <si>
    <t>15/01 au 30/01</t>
  </si>
  <si>
    <t>174:geodis</t>
  </si>
  <si>
    <t>08/01 au 28/01</t>
  </si>
  <si>
    <t>12/01 au 30/01</t>
  </si>
  <si>
    <t>NIAKATE MAMADOU (3 jours)</t>
  </si>
  <si>
    <t xml:space="preserve">Fouad </t>
  </si>
  <si>
    <t>Tableau des congés 2026</t>
  </si>
  <si>
    <t xml:space="preserve">Nom Prénom </t>
  </si>
  <si>
    <t>Dates</t>
  </si>
  <si>
    <t>du 03 Août au 31 Août 2026</t>
  </si>
  <si>
    <t xml:space="preserve">ABDALLAH Fouad </t>
  </si>
  <si>
    <t>du 20 juillet au 16 aout 2026</t>
  </si>
  <si>
    <t xml:space="preserve">BENALLOU Mohammed </t>
  </si>
  <si>
    <t>du 16 au 27 Mars 2026/ 25 Mai au 3 Juin 2026</t>
  </si>
  <si>
    <t>du 6 au 17 Juillet 2026</t>
  </si>
  <si>
    <t xml:space="preserve">KARRADA Youssef </t>
  </si>
  <si>
    <t>du 30 Mars au 4 avril 2026</t>
  </si>
  <si>
    <t>du 19 au 30 Mars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</si>
</sst>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0"/>
    <numFmt numFmtId="165" formatCode="0#&quot; &quot;##&quot; &quot;##&quot; &quot;##&quot; &quot;##"/>
    <numFmt numFmtId="166" formatCode="0000"/>
    <numFmt numFmtId="167" formatCode="[&gt;=3000000000000]#&quot; &quot;##&quot; &quot;##&quot; &quot;##&quot; &quot;###&quot; &quot;###&quot; | &quot;##;#&quot; &quot;##&quot; &quot;##&quot; &quot;##&quot; &quot;###&quot; &quot;###"/>
  </numFmts>
  <fonts count="106">
    <font>
      <sz val="11"/>
      <color theme="1"/>
      <name val="Aptos Narrow"/>
      <family val="2"/>
      <scheme val="minor"/>
    </font>
    <font>
      <b/>
      <sz val="11"/>
      <color theme="1"/>
      <name val="Aptos Narrow"/>
      <family val="2"/>
      <scheme val="minor"/>
    </font>
    <font>
      <b/>
      <sz val="11"/>
      <color rgb="FF000000"/>
      <name val="Aptos Narrow"/>
      <family val="2"/>
    </font>
    <font>
      <b/>
      <sz val="24"/>
      <color rgb="FFFF0000"/>
      <name val="Aptos Narrow"/>
      <family val="2"/>
    </font>
    <font>
      <b/>
      <sz val="24"/>
      <color rgb="FF00B050"/>
      <name val="Aptos Narrow"/>
      <family val="2"/>
    </font>
    <font>
      <sz val="14"/>
      <color rgb="FF000000"/>
      <name val="Aptos Narrow"/>
      <family val="2"/>
    </font>
    <font>
      <u/>
      <sz val="11"/>
      <color theme="10"/>
      <name val="Aptos Narrow"/>
      <family val="2"/>
      <scheme val="minor"/>
    </font>
    <font>
      <b/>
      <sz val="12"/>
      <color rgb="FF000000"/>
      <name val="Aptos Narrow"/>
      <family val="2"/>
    </font>
    <font>
      <sz val="11"/>
      <color rgb="FFFF0000"/>
      <name val="Aptos Narrow"/>
      <family val="2"/>
      <scheme val="minor"/>
    </font>
    <font>
      <b/>
      <sz val="11"/>
      <color theme="0"/>
      <name val="Aptos Narrow"/>
      <family val="2"/>
      <scheme val="minor"/>
    </font>
    <font>
      <sz val="11"/>
      <color theme="0"/>
      <name val="Aptos Narrow"/>
      <family val="2"/>
      <scheme val="minor"/>
    </font>
    <font>
      <b/>
      <sz val="13"/>
      <color theme="1"/>
      <name val="Aptos Narrow"/>
      <family val="2"/>
      <scheme val="minor"/>
    </font>
    <font>
      <b/>
      <sz val="11"/>
      <color rgb="FF0070C0"/>
      <name val="Aptos Narrow"/>
      <family val="2"/>
      <scheme val="minor"/>
    </font>
    <font>
      <sz val="11"/>
      <color theme="1"/>
      <name val="Calibri"/>
      <family val="2"/>
    </font>
    <font>
      <sz val="11"/>
      <color theme="1"/>
      <name val="Calibri"/>
      <family val="2"/>
    </font>
    <font>
      <b/>
      <sz val="11"/>
      <color theme="1"/>
      <name val="Calibri"/>
      <family val="2"/>
    </font>
    <font>
      <sz val="12"/>
      <color theme="1"/>
      <name val="Aptos Narrow"/>
      <family val="2"/>
      <scheme val="minor"/>
    </font>
    <font>
      <sz val="13"/>
      <color theme="1"/>
      <name val="Aptos Narrow"/>
      <family val="2"/>
      <scheme val="minor"/>
    </font>
    <font>
      <b/>
      <sz val="22"/>
      <color theme="1"/>
      <name val="Aptos Narrow"/>
      <family val="2"/>
      <scheme val="minor"/>
    </font>
    <font>
      <b/>
      <sz val="25"/>
      <color theme="1"/>
      <name val="Aptos Narrow"/>
      <family val="2"/>
      <scheme val="minor"/>
    </font>
    <font>
      <b/>
      <sz val="18"/>
      <color theme="0"/>
      <name val="Aptos Narrow"/>
      <family val="2"/>
      <scheme val="minor"/>
    </font>
    <font>
      <b/>
      <sz val="20"/>
      <color theme="1"/>
      <name val="Aptos Narrow"/>
      <family val="2"/>
      <scheme val="minor"/>
    </font>
    <font>
      <sz val="20"/>
      <color theme="1"/>
      <name val="Aptos Narrow"/>
      <family val="2"/>
      <scheme val="minor"/>
    </font>
    <font>
      <b/>
      <sz val="12"/>
      <color theme="1"/>
      <name val="Aptos Narrow"/>
      <family val="2"/>
      <scheme val="minor"/>
    </font>
    <font>
      <b/>
      <sz val="20"/>
      <color theme="0"/>
      <name val="Calibri"/>
      <family val="2"/>
    </font>
    <font>
      <b/>
      <sz val="12"/>
      <color theme="1"/>
      <name val="Calibri"/>
      <family val="2"/>
    </font>
    <font>
      <sz val="12"/>
      <color theme="1"/>
      <name val="Calibri"/>
      <family val="2"/>
    </font>
    <font>
      <b/>
      <sz val="15"/>
      <color theme="1"/>
      <name val="Aptos Narrow"/>
      <family val="2"/>
      <scheme val="minor"/>
    </font>
    <font>
      <b/>
      <sz val="14"/>
      <color rgb="FF000000"/>
      <name val="Calibri"/>
      <family val="2"/>
    </font>
    <font>
      <b/>
      <sz val="12"/>
      <color rgb="FF000000"/>
      <name val="Calibri"/>
      <family val="2"/>
    </font>
    <font>
      <b/>
      <sz val="15"/>
      <color rgb="FF000000"/>
      <name val="Aptos Narrow"/>
      <family val="2"/>
    </font>
    <font>
      <b/>
      <sz val="10"/>
      <name val="Aptos Narrow"/>
      <family val="2"/>
      <scheme val="minor"/>
    </font>
    <font>
      <sz val="10"/>
      <color theme="0"/>
      <name val="Aptos Narrow"/>
      <family val="2"/>
      <scheme val="minor"/>
    </font>
    <font>
      <sz val="11"/>
      <color theme="0"/>
      <name val="Calibri"/>
      <family val="2"/>
    </font>
    <font>
      <b/>
      <sz val="28"/>
      <color rgb="FF000000"/>
      <name val="Aptos Narrow"/>
      <family val="2"/>
    </font>
    <font>
      <b/>
      <sz val="15"/>
      <color theme="1"/>
      <name val="Calibri"/>
      <family val="2"/>
    </font>
    <font>
      <b/>
      <sz val="11"/>
      <color rgb="FFFF0000"/>
      <name val="Aptos Narrow"/>
      <family val="2"/>
      <scheme val="minor"/>
    </font>
    <font>
      <b/>
      <sz val="16"/>
      <color theme="0"/>
      <name val="Aptos Narrow"/>
      <family val="2"/>
      <scheme val="minor"/>
    </font>
    <font>
      <b/>
      <sz val="11"/>
      <color rgb="FF00B050"/>
      <name val="Aptos Narrow"/>
      <family val="2"/>
      <scheme val="minor"/>
    </font>
    <font>
      <sz val="8"/>
      <name val="Aptos Narrow"/>
      <family val="2"/>
      <scheme val="minor"/>
    </font>
    <font>
      <b/>
      <sz val="11"/>
      <color rgb="FFFF0000"/>
      <name val="Calibri"/>
      <family val="2"/>
    </font>
    <font>
      <b/>
      <sz val="11"/>
      <name val="Aptos Narrow"/>
      <family val="2"/>
      <scheme val="minor"/>
    </font>
    <font>
      <sz val="11"/>
      <name val="Aptos Narrow"/>
      <family val="2"/>
      <scheme val="minor"/>
    </font>
    <font>
      <b/>
      <sz val="10"/>
      <color rgb="FF0070C0"/>
      <name val="Aptos Narrow"/>
      <family val="2"/>
      <scheme val="minor"/>
    </font>
    <font>
      <b/>
      <sz val="25"/>
      <color rgb="FF0070C0"/>
      <name val="Aptos Narrow"/>
      <family val="2"/>
      <scheme val="minor"/>
    </font>
    <font>
      <sz val="25"/>
      <color rgb="FF0070C0"/>
      <name val="Aptos Narrow"/>
      <family val="2"/>
      <scheme val="minor"/>
    </font>
    <font>
      <sz val="25"/>
      <color theme="1"/>
      <name val="Aptos Narrow"/>
      <family val="2"/>
      <scheme val="minor"/>
    </font>
    <font>
      <sz val="13"/>
      <color rgb="FFFF0000"/>
      <name val="Aptos Narrow"/>
      <family val="2"/>
      <scheme val="minor"/>
    </font>
    <font>
      <sz val="13"/>
      <color theme="1"/>
      <name val="Calibri"/>
      <family val="2"/>
    </font>
    <font>
      <sz val="15"/>
      <color theme="1"/>
      <name val="Aptos Narrow"/>
      <family val="2"/>
      <scheme val="minor"/>
    </font>
    <font>
      <b/>
      <sz val="15"/>
      <color theme="0"/>
      <name val="Aptos Narrow"/>
      <family val="2"/>
      <scheme val="minor"/>
    </font>
    <font>
      <b/>
      <sz val="17"/>
      <color theme="1"/>
      <name val="Aptos Narrow"/>
      <family val="2"/>
      <scheme val="minor"/>
    </font>
    <font>
      <b/>
      <sz val="17"/>
      <color theme="1"/>
      <name val="Calibri"/>
      <family val="2"/>
    </font>
    <font>
      <sz val="16"/>
      <color theme="1"/>
      <name val="Aptos Narrow"/>
      <family val="2"/>
      <scheme val="minor"/>
    </font>
    <font>
      <sz val="16"/>
      <color theme="1"/>
      <name val="Calibri"/>
      <family val="2"/>
    </font>
    <font>
      <sz val="15"/>
      <color theme="0"/>
      <name val="Aptos Narrow"/>
      <family val="2"/>
      <scheme val="minor"/>
    </font>
    <font>
      <sz val="13"/>
      <color theme="0"/>
      <name val="Aptos Narrow"/>
      <family val="2"/>
      <scheme val="minor"/>
    </font>
    <font>
      <b/>
      <u/>
      <sz val="15"/>
      <color rgb="FF7030A0"/>
      <name val="Aptos Narrow"/>
      <family val="2"/>
      <scheme val="minor"/>
    </font>
    <font>
      <b/>
      <sz val="20"/>
      <color theme="3" tint="0.249977111117893"/>
      <name val="Aptos Narrow"/>
      <family val="2"/>
      <scheme val="minor"/>
    </font>
    <font>
      <b/>
      <sz val="14"/>
      <color theme="1"/>
      <name val="Aptos Narrow"/>
      <family val="2"/>
      <scheme val="minor"/>
    </font>
    <font>
      <b/>
      <sz val="12"/>
      <color theme="1"/>
      <name val="Arial"/>
      <family val="2"/>
    </font>
    <font>
      <b/>
      <sz val="20"/>
      <color rgb="FF000000"/>
      <name val="Century Gothic"/>
      <family val="2"/>
    </font>
    <font>
      <b/>
      <sz val="20"/>
      <color theme="1"/>
      <name val="Century Gothic"/>
      <family val="2"/>
    </font>
    <font>
      <b/>
      <sz val="12"/>
      <color theme="4"/>
      <name val="Century Gothic"/>
      <family val="2"/>
    </font>
    <font>
      <b/>
      <sz val="12"/>
      <color theme="1"/>
      <name val="Century Gothic"/>
      <family val="2"/>
    </font>
    <font>
      <b/>
      <sz val="12"/>
      <color theme="0"/>
      <name val="Aptos Narrow"/>
      <family val="2"/>
      <scheme val="minor"/>
    </font>
    <font>
      <u/>
      <sz val="12"/>
      <color theme="10"/>
      <name val="Aptos Narrow"/>
      <family val="2"/>
      <scheme val="minor"/>
    </font>
    <font>
      <b/>
      <sz val="12"/>
      <color rgb="FF000000"/>
      <name val="Aptos Narrow"/>
      <family val="2"/>
      <scheme val="minor"/>
    </font>
    <font>
      <b/>
      <sz val="12"/>
      <color rgb="FFFF0000"/>
      <name val="Arial"/>
      <family val="2"/>
    </font>
    <font>
      <b/>
      <sz val="11"/>
      <color rgb="FFFF0000"/>
      <name val="Arial"/>
      <family val="2"/>
    </font>
    <font>
      <b/>
      <i/>
      <sz val="11"/>
      <color theme="1"/>
      <name val="Aptos Narrow"/>
      <family val="2"/>
      <scheme val="minor"/>
    </font>
    <font>
      <b/>
      <sz val="22"/>
      <color theme="4"/>
      <name val="Aptos Narrow"/>
      <family val="2"/>
      <scheme val="minor"/>
    </font>
    <font>
      <b/>
      <sz val="22"/>
      <color rgb="FF0070C0"/>
      <name val="Aptos Narrow"/>
      <family val="2"/>
      <scheme val="minor"/>
    </font>
    <font>
      <b/>
      <sz val="22"/>
      <color theme="6"/>
      <name val="Aptos Narrow"/>
      <family val="2"/>
      <scheme val="minor"/>
    </font>
    <font>
      <b/>
      <sz val="20"/>
      <color rgb="FFFF0000"/>
      <name val="Aptos Narrow"/>
      <family val="2"/>
      <scheme val="minor"/>
    </font>
    <font>
      <sz val="20"/>
      <name val="Century Gothic"/>
      <family val="2"/>
    </font>
    <font>
      <b/>
      <sz val="20"/>
      <name val="Century Gothic"/>
      <family val="2"/>
    </font>
    <font>
      <b/>
      <sz val="11"/>
      <name val="Aptos Narrow"/>
      <family val="2"/>
    </font>
    <font>
      <sz val="11"/>
      <name val="Aptos Narrow"/>
      <family val="2"/>
    </font>
    <font>
      <b/>
      <sz val="12"/>
      <color rgb="FFFF0000"/>
      <name val="Aptos Narrow"/>
      <family val="2"/>
      <scheme val="minor"/>
    </font>
    <font>
      <sz val="12"/>
      <color rgb="FF242424"/>
      <name val="Aptos Narrow"/>
      <family val="2"/>
      <scheme val="minor"/>
    </font>
    <font>
      <b/>
      <sz val="12"/>
      <name val="Aptos Narrow"/>
      <family val="2"/>
    </font>
    <font>
      <sz val="16"/>
      <color theme="1"/>
      <name val="Calibri"/>
    </font>
    <font>
      <b/>
      <sz val="17"/>
      <color theme="1"/>
      <name val="Calibri"/>
    </font>
    <font>
      <sz val="11"/>
      <name val="Calibri"/>
      <family val="2"/>
    </font>
    <font>
      <sz val="11"/>
      <name val="Century Gothic"/>
      <family val="2"/>
    </font>
    <font>
      <sz val="20"/>
      <name val="Aptos Narrow"/>
      <family val="2"/>
      <scheme val="minor"/>
    </font>
    <font>
      <sz val="11"/>
      <color theme="1"/>
      <name val="Calibri"/>
    </font>
    <font>
      <b/>
      <sz val="22"/>
      <color theme="9" tint="-0.249977111117893"/>
      <name val="Aptos Narrow"/>
      <family val="2"/>
      <scheme val="minor"/>
    </font>
    <font>
      <sz val="11"/>
      <color theme="1"/>
      <name val="Aptos Narrow"/>
      <family val="2"/>
      <scheme val="minor"/>
    </font>
    <font>
      <b/>
      <sz val="12"/>
      <color theme="4"/>
      <name val="Century Gothic"/>
    </font>
    <font>
      <b/>
      <sz val="12"/>
      <color theme="1"/>
      <name val="Century Gothic"/>
    </font>
    <font>
      <b/>
      <sz val="17"/>
      <color theme="1"/>
      <name val="Century Gothic"/>
      <family val="2"/>
    </font>
    <font>
      <b/>
      <sz val="16"/>
      <color theme="1"/>
      <name val="Century Gothic"/>
      <family val="2"/>
    </font>
    <font>
      <b/>
      <i/>
      <u/>
      <sz val="16"/>
      <color theme="1"/>
      <name val="Aptos Narrow"/>
      <family val="2"/>
      <scheme val="minor"/>
    </font>
    <font>
      <b/>
      <sz val="20"/>
      <color theme="0"/>
      <name val="Aptos Narrow"/>
      <family val="2"/>
      <scheme val="minor"/>
    </font>
    <font>
      <b/>
      <sz val="14"/>
      <color rgb="FFFF0000"/>
      <name val="Aptos Narrow"/>
      <family val="2"/>
      <scheme val="minor"/>
    </font>
    <font>
      <b/>
      <sz val="10"/>
      <color rgb="FFFF0000"/>
      <name val="Calibri"/>
      <family val="2"/>
    </font>
    <font>
      <b/>
      <sz val="12"/>
      <color rgb="FFFF0000"/>
      <name val="Century Gothic"/>
      <family val="2"/>
    </font>
    <font>
      <b/>
      <sz val="12"/>
      <color theme="3" tint="0.249977111117893"/>
      <name val="Aptos Narrow"/>
      <family val="2"/>
      <scheme val="minor"/>
    </font>
    <font>
      <sz val="11"/>
      <color rgb="FF000000"/>
      <name val="Aptos Narrow"/>
      <family val="2"/>
    </font>
    <font>
      <b/>
      <sz val="10"/>
      <color rgb="FFFF0000"/>
      <name val="Calibri"/>
    </font>
    <font>
      <b/>
      <sz val="14"/>
      <name val="Century Gothic"/>
      <family val="2"/>
    </font>
    <font>
      <b/>
      <sz val="14"/>
      <name val="Century Gothic"/>
    </font>
    <font>
      <b/>
      <sz val="16"/>
      <color theme="1"/>
      <name val="Aptos Narrow"/>
      <family val="2"/>
      <scheme val="minor"/>
    </font>
    <font>
      <b/>
      <u/>
      <sz val="12"/>
      <color theme="1"/>
      <name val="Aptos Narrow"/>
      <family val="2"/>
      <scheme val="minor"/>
    </font>
  </fonts>
  <fills count="6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F0"/>
        <bgColor rgb="FF00B0F0"/>
      </patternFill>
    </fill>
    <fill>
      <patternFill patternType="solid">
        <fgColor rgb="FFFFFF00"/>
        <bgColor rgb="FFFFFF00"/>
      </patternFill>
    </fill>
    <fill>
      <patternFill patternType="solid">
        <fgColor rgb="FFFFFFFF"/>
        <bgColor rgb="FFFFFFFF"/>
      </patternFill>
    </fill>
    <fill>
      <patternFill patternType="solid">
        <fgColor rgb="FFFF5757"/>
        <bgColor rgb="FFFF5757"/>
      </patternFill>
    </fill>
    <fill>
      <patternFill patternType="solid">
        <fgColor rgb="FFABE9FF"/>
        <bgColor rgb="FFABE9FF"/>
      </patternFill>
    </fill>
    <fill>
      <patternFill patternType="solid">
        <fgColor rgb="FFFCAEBD"/>
        <bgColor rgb="FFFCAEBD"/>
      </patternFill>
    </fill>
    <fill>
      <patternFill patternType="solid">
        <fgColor rgb="FFA7F7B8"/>
        <bgColor rgb="FFA7F7B8"/>
      </patternFill>
    </fill>
    <fill>
      <patternFill patternType="solid">
        <fgColor rgb="FFBF95DF"/>
        <bgColor rgb="FFBF95DF"/>
      </patternFill>
    </fill>
    <fill>
      <patternFill patternType="solid">
        <fgColor rgb="FFFFD54F"/>
        <bgColor rgb="FFFFD54F"/>
      </patternFill>
    </fill>
    <fill>
      <patternFill patternType="solid">
        <fgColor rgb="FFF4AAF8"/>
        <bgColor rgb="FFF4AAF8"/>
      </patternFill>
    </fill>
    <fill>
      <patternFill patternType="solid">
        <fgColor rgb="FF0070C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00B050"/>
        <bgColor indexed="64"/>
      </patternFill>
    </fill>
    <fill>
      <patternFill patternType="solid">
        <fgColor theme="0"/>
        <bgColor rgb="FF00B0F0"/>
      </patternFill>
    </fill>
    <fill>
      <patternFill patternType="solid">
        <fgColor theme="0"/>
        <bgColor rgb="FFFFFF00"/>
      </patternFill>
    </fill>
    <fill>
      <patternFill patternType="solid">
        <fgColor theme="9" tint="0.59999389629810485"/>
        <bgColor indexed="64"/>
      </patternFill>
    </fill>
    <fill>
      <patternFill patternType="solid">
        <fgColor theme="9" tint="0.59999389629810485"/>
        <bgColor rgb="FFFF5D5D"/>
      </patternFill>
    </fill>
    <fill>
      <patternFill patternType="solid">
        <fgColor theme="9" tint="0.59999389629810485"/>
        <bgColor rgb="FF25FF88"/>
      </patternFill>
    </fill>
    <fill>
      <patternFill patternType="solid">
        <fgColor theme="9" tint="0.59999389629810485"/>
        <bgColor rgb="FFFFD653"/>
      </patternFill>
    </fill>
    <fill>
      <patternFill patternType="solid">
        <fgColor theme="9" tint="0.59999389629810485"/>
        <bgColor rgb="FFE4E4E4"/>
      </patternFill>
    </fill>
    <fill>
      <patternFill patternType="solid">
        <fgColor rgb="FF22B363"/>
        <bgColor indexed="64"/>
      </patternFill>
    </fill>
    <fill>
      <patternFill patternType="solid">
        <fgColor theme="7"/>
        <bgColor indexed="64"/>
      </patternFill>
    </fill>
    <fill>
      <patternFill patternType="solid">
        <fgColor rgb="FFF52222"/>
        <bgColor indexed="64"/>
      </patternFill>
    </fill>
    <fill>
      <patternFill patternType="solid">
        <fgColor theme="0"/>
        <bgColor indexed="64"/>
      </patternFill>
    </fill>
    <fill>
      <patternFill patternType="solid">
        <fgColor theme="3" tint="0.499984740745262"/>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theme="5" tint="0.79998168889431442"/>
        <bgColor rgb="FFFFFF00"/>
      </patternFill>
    </fill>
    <fill>
      <patternFill patternType="solid">
        <fgColor theme="5" tint="0.79998168889431442"/>
        <bgColor indexed="64"/>
      </patternFill>
    </fill>
    <fill>
      <patternFill patternType="solid">
        <fgColor theme="5" tint="0.79998168889431442"/>
        <bgColor rgb="FFFFFFFF"/>
      </patternFill>
    </fill>
    <fill>
      <patternFill patternType="solid">
        <fgColor theme="5"/>
        <bgColor indexed="64"/>
      </patternFill>
    </fill>
    <fill>
      <patternFill patternType="solid">
        <fgColor rgb="FF00B0F0"/>
        <bgColor rgb="FF000000"/>
      </patternFill>
    </fill>
    <fill>
      <patternFill patternType="solid">
        <fgColor theme="0" tint="-4.9989318521683403E-2"/>
        <bgColor indexed="64"/>
      </patternFill>
    </fill>
    <fill>
      <patternFill patternType="solid">
        <fgColor theme="4" tint="0.79998168889431442"/>
        <bgColor rgb="FFFFFFFF"/>
      </patternFill>
    </fill>
    <fill>
      <patternFill patternType="solid">
        <fgColor rgb="FFCCCCFF"/>
        <bgColor indexed="64"/>
      </patternFill>
    </fill>
    <fill>
      <patternFill patternType="solid">
        <fgColor theme="6" tint="0.39997558519241921"/>
        <bgColor rgb="FF000000"/>
      </patternFill>
    </fill>
    <fill>
      <patternFill patternType="solid">
        <fgColor theme="6" tint="0.39997558519241921"/>
        <bgColor indexed="64"/>
      </patternFill>
    </fill>
    <fill>
      <patternFill patternType="solid">
        <fgColor theme="9" tint="0.59999389629810485"/>
        <bgColor rgb="FFABE9FF"/>
      </patternFill>
    </fill>
    <fill>
      <patternFill patternType="solid">
        <fgColor theme="7" tint="0.79998168889431442"/>
        <bgColor indexed="64"/>
      </patternFill>
    </fill>
    <fill>
      <patternFill patternType="solid">
        <fgColor rgb="FFFB714B"/>
        <bgColor indexed="64"/>
      </patternFill>
    </fill>
    <fill>
      <patternFill patternType="solid">
        <fgColor rgb="FFA7F7B8"/>
        <bgColor indexed="64"/>
      </patternFill>
    </fill>
    <fill>
      <patternFill patternType="solid">
        <fgColor rgb="FFFFFFCC"/>
        <bgColor indexed="64"/>
      </patternFill>
    </fill>
    <fill>
      <patternFill patternType="solid">
        <fgColor rgb="FFF47C7C"/>
        <bgColor indexed="64"/>
      </patternFill>
    </fill>
    <fill>
      <patternFill patternType="solid">
        <fgColor rgb="FFF55E2F"/>
        <bgColor indexed="64"/>
      </patternFill>
    </fill>
    <fill>
      <patternFill patternType="solid">
        <fgColor theme="9" tint="0.39997558519241921"/>
        <bgColor indexed="64"/>
      </patternFill>
    </fill>
    <fill>
      <patternFill patternType="solid">
        <fgColor rgb="FFFFFF00"/>
        <bgColor rgb="FF25FF88"/>
      </patternFill>
    </fill>
    <fill>
      <patternFill patternType="solid">
        <fgColor rgb="FFFFFF00"/>
        <bgColor rgb="FFFF5D5D"/>
      </patternFill>
    </fill>
    <fill>
      <patternFill patternType="solid">
        <fgColor rgb="FFFFFF00"/>
        <bgColor rgb="FFE4E4E4"/>
      </patternFill>
    </fill>
    <fill>
      <patternFill patternType="solid">
        <fgColor rgb="FFFFFF00"/>
        <bgColor rgb="FFFFD653"/>
      </patternFill>
    </fill>
    <fill>
      <patternFill patternType="solid">
        <fgColor theme="0" tint="-0.14999847407452621"/>
        <bgColor rgb="FFFFFF00"/>
      </patternFill>
    </fill>
    <fill>
      <patternFill patternType="solid">
        <fgColor theme="0" tint="-0.14999847407452621"/>
        <bgColor indexed="64"/>
      </patternFill>
    </fill>
    <fill>
      <patternFill patternType="solid">
        <fgColor theme="0" tint="-0.14999847407452621"/>
        <bgColor rgb="FF25FF88"/>
      </patternFill>
    </fill>
    <fill>
      <patternFill patternType="solid">
        <fgColor theme="0" tint="-0.14999847407452621"/>
        <bgColor rgb="FFFF5D5D"/>
      </patternFill>
    </fill>
    <fill>
      <patternFill patternType="solid">
        <fgColor rgb="FFFB714B"/>
        <bgColor rgb="FFFF5D5D"/>
      </patternFill>
    </fill>
    <fill>
      <patternFill patternType="solid">
        <fgColor rgb="FFFB714B"/>
        <bgColor rgb="FFFFD653"/>
      </patternFill>
    </fill>
    <fill>
      <patternFill patternType="solid">
        <fgColor rgb="FFFB714B"/>
        <bgColor rgb="FF25FF88"/>
      </patternFill>
    </fill>
    <fill>
      <patternFill patternType="solid">
        <fgColor rgb="FFFB714B"/>
        <bgColor rgb="FFE4E4E4"/>
      </patternFill>
    </fill>
    <fill>
      <patternFill patternType="solid">
        <fgColor rgb="FFF4AAF8"/>
        <bgColor indexed="64"/>
      </patternFill>
    </fill>
    <fill>
      <patternFill patternType="solid">
        <fgColor theme="4" tint="0.79998168889431442"/>
        <bgColor theme="4" tint="0.79998168889431442"/>
      </patternFill>
    </fill>
    <fill>
      <patternFill patternType="solid">
        <fgColor theme="0"/>
        <bgColor rgb="FFFFFFFF"/>
      </patternFill>
    </fill>
    <fill>
      <patternFill patternType="solid">
        <fgColor theme="4" tint="0.39997558519241921"/>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style="thin">
        <color rgb="FF000000"/>
      </bottom>
      <diagonal/>
    </border>
    <border>
      <left style="thin">
        <color rgb="FF000000"/>
      </left>
      <right style="thin">
        <color indexed="64"/>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medium">
        <color indexed="64"/>
      </left>
      <right style="medium">
        <color indexed="64"/>
      </right>
      <top/>
      <bottom/>
      <diagonal/>
    </border>
    <border>
      <left style="thick">
        <color auto="1"/>
      </left>
      <right style="medium">
        <color auto="1"/>
      </right>
      <top style="thick">
        <color auto="1"/>
      </top>
      <bottom style="thick">
        <color auto="1"/>
      </bottom>
      <diagonal/>
    </border>
    <border>
      <left style="medium">
        <color auto="1"/>
      </left>
      <right style="medium">
        <color auto="1"/>
      </right>
      <top style="thick">
        <color auto="1"/>
      </top>
      <bottom style="thick">
        <color auto="1"/>
      </bottom>
      <diagonal/>
    </border>
    <border>
      <left style="medium">
        <color auto="1"/>
      </left>
      <right style="thick">
        <color auto="1"/>
      </right>
      <top style="thick">
        <color auto="1"/>
      </top>
      <bottom style="thick">
        <color auto="1"/>
      </bottom>
      <diagonal/>
    </border>
    <border>
      <left style="medium">
        <color indexed="64"/>
      </left>
      <right/>
      <top style="medium">
        <color indexed="64"/>
      </top>
      <bottom style="medium">
        <color indexed="64"/>
      </bottom>
      <diagonal/>
    </border>
    <border>
      <left style="thin">
        <color indexed="64"/>
      </left>
      <right/>
      <top style="thin">
        <color indexed="64"/>
      </top>
      <bottom style="thin">
        <color rgb="FF000000"/>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rgb="FF000000"/>
      </right>
      <top style="thin">
        <color indexed="64"/>
      </top>
      <bottom style="thin">
        <color rgb="FF000000"/>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diagonalDown="1">
      <left/>
      <right style="medium">
        <color indexed="64"/>
      </right>
      <top/>
      <bottom style="medium">
        <color indexed="64"/>
      </bottom>
      <diagonal style="medium">
        <color rgb="FF000000"/>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bottom style="thin">
        <color indexed="64"/>
      </bottom>
      <diagonal/>
    </border>
    <border>
      <left/>
      <right style="thin">
        <color indexed="64"/>
      </right>
      <top style="thin">
        <color rgb="FF000000"/>
      </top>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s>
  <cellStyleXfs count="4">
    <xf numFmtId="0" fontId="0" fillId="0" borderId="0"/>
    <xf numFmtId="0" fontId="6" fillId="0" borderId="0" applyNumberFormat="0" applyFill="0" applyBorder="0" applyAlignment="0" applyProtection="0"/>
    <xf numFmtId="0" fontId="6" fillId="0" borderId="0" applyNumberFormat="0" applyFill="0" applyBorder="0" applyAlignment="0" applyProtection="0"/>
    <xf numFmtId="43" fontId="89" fillId="0" borderId="0" applyFont="0" applyFill="0" applyBorder="0" applyAlignment="0" applyProtection="0"/>
  </cellStyleXfs>
  <cellXfs count="568">
    <xf numFmtId="0" fontId="0" fillId="0" borderId="0" xfId="0"/>
    <xf numFmtId="0" fontId="0" fillId="0" borderId="0" xfId="0" applyAlignment="1">
      <alignment horizontal="center" vertical="center"/>
    </xf>
    <xf numFmtId="49" fontId="0" fillId="0" borderId="4" xfId="0" applyNumberFormat="1" applyBorder="1" applyAlignment="1">
      <alignment horizontal="center" vertical="center"/>
    </xf>
    <xf numFmtId="49" fontId="0" fillId="0" borderId="7" xfId="0" applyNumberFormat="1" applyBorder="1" applyAlignment="1">
      <alignment horizontal="center" vertical="center"/>
    </xf>
    <xf numFmtId="49" fontId="3" fillId="0" borderId="4"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2" fillId="7" borderId="4" xfId="0" applyNumberFormat="1" applyFont="1" applyFill="1" applyBorder="1" applyAlignment="1">
      <alignment horizontal="center" vertical="center"/>
    </xf>
    <xf numFmtId="49" fontId="0" fillId="7" borderId="4" xfId="0" applyNumberFormat="1" applyFill="1" applyBorder="1" applyAlignment="1">
      <alignment horizontal="center" vertical="center"/>
    </xf>
    <xf numFmtId="49" fontId="0" fillId="7" borderId="7" xfId="0" applyNumberFormat="1" applyFill="1" applyBorder="1" applyAlignment="1">
      <alignment horizontal="center" vertical="center"/>
    </xf>
    <xf numFmtId="0" fontId="3" fillId="0" borderId="4" xfId="0" applyFont="1" applyBorder="1" applyAlignment="1">
      <alignment horizontal="center" vertical="center"/>
    </xf>
    <xf numFmtId="49" fontId="2" fillId="7" borderId="7" xfId="0" applyNumberFormat="1" applyFont="1" applyFill="1" applyBorder="1" applyAlignment="1">
      <alignment horizontal="center" vertical="center"/>
    </xf>
    <xf numFmtId="0" fontId="4" fillId="0" borderId="4" xfId="0" applyFont="1" applyBorder="1" applyAlignment="1">
      <alignment horizontal="center" vertical="center"/>
    </xf>
    <xf numFmtId="0" fontId="2" fillId="6" borderId="7"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8" xfId="0" applyFont="1" applyFill="1" applyBorder="1" applyAlignment="1">
      <alignment horizontal="center" vertical="center"/>
    </xf>
    <xf numFmtId="0" fontId="0" fillId="0" borderId="0" xfId="0" applyAlignment="1">
      <alignment horizontal="center"/>
    </xf>
    <xf numFmtId="0" fontId="1" fillId="4" borderId="4" xfId="0" applyFont="1" applyFill="1" applyBorder="1" applyAlignment="1">
      <alignment horizontal="center" vertical="center"/>
    </xf>
    <xf numFmtId="0" fontId="1" fillId="4" borderId="6" xfId="0" applyFont="1" applyFill="1" applyBorder="1" applyAlignment="1">
      <alignment horizontal="center" vertical="center"/>
    </xf>
    <xf numFmtId="49" fontId="0" fillId="29" borderId="0" xfId="0" applyNumberFormat="1" applyFill="1" applyAlignment="1">
      <alignment horizontal="center" vertical="center"/>
    </xf>
    <xf numFmtId="0" fontId="2" fillId="0" borderId="0" xfId="0" applyFont="1" applyAlignment="1">
      <alignment horizontal="center" vertical="center"/>
    </xf>
    <xf numFmtId="0" fontId="0" fillId="0" borderId="0" xfId="0" applyAlignment="1">
      <alignment horizontal="left"/>
    </xf>
    <xf numFmtId="49" fontId="13" fillId="29" borderId="0" xfId="0" applyNumberFormat="1" applyFont="1" applyFill="1" applyAlignment="1">
      <alignment horizontal="center" vertical="center"/>
    </xf>
    <xf numFmtId="0" fontId="0" fillId="6"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13" borderId="1" xfId="0" applyFill="1" applyBorder="1" applyAlignment="1">
      <alignment horizontal="center" vertical="center"/>
    </xf>
    <xf numFmtId="0" fontId="0" fillId="33" borderId="1" xfId="0" applyFill="1" applyBorder="1" applyAlignment="1">
      <alignment horizontal="center" vertical="center"/>
    </xf>
    <xf numFmtId="0" fontId="0" fillId="34" borderId="1" xfId="0" applyFill="1" applyBorder="1" applyAlignment="1">
      <alignment horizontal="center" vertical="center"/>
    </xf>
    <xf numFmtId="0" fontId="17" fillId="0" borderId="1" xfId="0" applyFont="1" applyBorder="1" applyAlignment="1">
      <alignment horizontal="center" vertical="center"/>
    </xf>
    <xf numFmtId="0" fontId="16" fillId="6" borderId="1" xfId="0" applyFont="1" applyFill="1" applyBorder="1" applyAlignment="1">
      <alignment horizontal="center" vertical="center"/>
    </xf>
    <xf numFmtId="165" fontId="16" fillId="6" borderId="1" xfId="0" applyNumberFormat="1" applyFont="1" applyFill="1" applyBorder="1" applyAlignment="1">
      <alignment horizontal="center" vertical="center"/>
    </xf>
    <xf numFmtId="0" fontId="17" fillId="35" borderId="1" xfId="0" applyFont="1" applyFill="1" applyBorder="1" applyAlignment="1">
      <alignment horizontal="center" vertical="center"/>
    </xf>
    <xf numFmtId="0" fontId="0" fillId="0" borderId="1" xfId="0" applyBorder="1"/>
    <xf numFmtId="0" fontId="15" fillId="2" borderId="1" xfId="0" applyFont="1" applyFill="1" applyBorder="1" applyAlignment="1">
      <alignment horizontal="center" vertical="center"/>
    </xf>
    <xf numFmtId="0" fontId="14" fillId="0" borderId="0" xfId="0" applyFont="1"/>
    <xf numFmtId="0" fontId="25" fillId="3" borderId="30" xfId="0" applyFont="1" applyFill="1" applyBorder="1" applyAlignment="1">
      <alignment horizontal="center" vertical="center"/>
    </xf>
    <xf numFmtId="0" fontId="25" fillId="3" borderId="30" xfId="0" applyFont="1" applyFill="1" applyBorder="1" applyAlignment="1">
      <alignment horizontal="center" vertical="center" wrapText="1"/>
    </xf>
    <xf numFmtId="0" fontId="26" fillId="0" borderId="1" xfId="0" applyFont="1" applyBorder="1" applyAlignment="1">
      <alignment horizontal="center" vertical="center"/>
    </xf>
    <xf numFmtId="14" fontId="26" fillId="0" borderId="1" xfId="0" applyNumberFormat="1" applyFont="1" applyBorder="1" applyAlignment="1">
      <alignment horizontal="center" vertical="center"/>
    </xf>
    <xf numFmtId="0" fontId="30" fillId="4" borderId="1" xfId="0" applyFont="1" applyFill="1" applyBorder="1" applyAlignment="1">
      <alignment horizontal="center" vertical="center"/>
    </xf>
    <xf numFmtId="0" fontId="0" fillId="38" borderId="1" xfId="0" applyFill="1" applyBorder="1" applyAlignment="1">
      <alignment horizontal="center" vertical="center"/>
    </xf>
    <xf numFmtId="0" fontId="1" fillId="0" borderId="1" xfId="0" applyFont="1" applyBorder="1" applyAlignment="1">
      <alignment horizontal="center"/>
    </xf>
    <xf numFmtId="0" fontId="35" fillId="0" borderId="1" xfId="0" applyFont="1" applyBorder="1" applyAlignment="1">
      <alignment horizontal="center" vertical="center" wrapText="1"/>
    </xf>
    <xf numFmtId="0" fontId="26" fillId="0" borderId="1" xfId="0" applyFont="1" applyBorder="1" applyAlignment="1">
      <alignment horizontal="center" vertical="center" wrapText="1"/>
    </xf>
    <xf numFmtId="14" fontId="26" fillId="0" borderId="1" xfId="0" applyNumberFormat="1" applyFont="1" applyBorder="1" applyAlignment="1">
      <alignment horizontal="center" vertical="center" wrapText="1"/>
    </xf>
    <xf numFmtId="0" fontId="0" fillId="0" borderId="7" xfId="0" applyBorder="1"/>
    <xf numFmtId="0" fontId="37" fillId="14" borderId="1" xfId="0" applyFont="1" applyFill="1" applyBorder="1" applyAlignment="1">
      <alignment horizontal="center" vertical="center"/>
    </xf>
    <xf numFmtId="0" fontId="37" fillId="14" borderId="1" xfId="0" applyFont="1" applyFill="1" applyBorder="1" applyAlignment="1">
      <alignment horizontal="center" vertical="center" wrapText="1" shrinkToFit="1"/>
    </xf>
    <xf numFmtId="0" fontId="37" fillId="0" borderId="0" xfId="0" applyFont="1" applyAlignment="1">
      <alignment horizontal="center" vertical="center"/>
    </xf>
    <xf numFmtId="0" fontId="12" fillId="0" borderId="4" xfId="0" applyFont="1" applyBorder="1" applyAlignment="1">
      <alignment horizontal="center" vertical="center" wrapText="1"/>
    </xf>
    <xf numFmtId="0" fontId="9" fillId="28" borderId="4" xfId="0" applyFont="1" applyFill="1" applyBorder="1" applyAlignment="1">
      <alignment horizontal="center" vertical="center" wrapText="1"/>
    </xf>
    <xf numFmtId="0" fontId="0" fillId="0" borderId="1" xfId="0" applyBorder="1" applyAlignment="1">
      <alignment horizontal="center"/>
    </xf>
    <xf numFmtId="0" fontId="12" fillId="0" borderId="4" xfId="0" applyFont="1" applyBorder="1" applyAlignment="1">
      <alignment horizontal="center"/>
    </xf>
    <xf numFmtId="14" fontId="12" fillId="0" borderId="4" xfId="0" applyNumberFormat="1" applyFont="1" applyBorder="1" applyAlignment="1">
      <alignment horizontal="center"/>
    </xf>
    <xf numFmtId="0" fontId="9" fillId="28" borderId="4" xfId="0" applyFont="1" applyFill="1" applyBorder="1" applyAlignment="1">
      <alignment horizontal="center"/>
    </xf>
    <xf numFmtId="164" fontId="11" fillId="27" borderId="4" xfId="0" applyNumberFormat="1" applyFont="1" applyFill="1" applyBorder="1" applyAlignment="1">
      <alignment horizontal="center" vertical="center" wrapText="1"/>
    </xf>
    <xf numFmtId="0" fontId="11" fillId="27" borderId="4" xfId="0" applyFont="1" applyFill="1" applyBorder="1" applyAlignment="1">
      <alignment horizontal="center" vertical="center"/>
    </xf>
    <xf numFmtId="0" fontId="38" fillId="0" borderId="4" xfId="0" applyFont="1" applyBorder="1" applyAlignment="1">
      <alignment horizontal="center"/>
    </xf>
    <xf numFmtId="0" fontId="9" fillId="14" borderId="1" xfId="0" applyFont="1" applyFill="1" applyBorder="1" applyAlignment="1">
      <alignment horizontal="center" vertical="center"/>
    </xf>
    <xf numFmtId="0" fontId="10" fillId="14" borderId="1" xfId="0" applyFont="1" applyFill="1" applyBorder="1" applyAlignment="1">
      <alignment horizontal="center" vertical="center"/>
    </xf>
    <xf numFmtId="0" fontId="10" fillId="14" borderId="1" xfId="0" applyFont="1" applyFill="1" applyBorder="1" applyAlignment="1">
      <alignment horizontal="center" vertical="center" wrapText="1"/>
    </xf>
    <xf numFmtId="0" fontId="32" fillId="14" borderId="1" xfId="0" applyFont="1" applyFill="1" applyBorder="1" applyAlignment="1">
      <alignment horizontal="center" vertical="center" wrapText="1"/>
    </xf>
    <xf numFmtId="0" fontId="32" fillId="14" borderId="1" xfId="0" applyFont="1" applyFill="1" applyBorder="1" applyAlignment="1">
      <alignment horizontal="center" vertical="center"/>
    </xf>
    <xf numFmtId="16" fontId="26" fillId="0" borderId="1" xfId="0" applyNumberFormat="1" applyFont="1" applyBorder="1" applyAlignment="1">
      <alignment horizontal="center" vertical="center"/>
    </xf>
    <xf numFmtId="0" fontId="13" fillId="0" borderId="0" xfId="0" applyFont="1"/>
    <xf numFmtId="0" fontId="40" fillId="0" borderId="0" xfId="0" applyFont="1"/>
    <xf numFmtId="0" fontId="0" fillId="0" borderId="3" xfId="0" applyBorder="1"/>
    <xf numFmtId="0" fontId="12" fillId="16" borderId="4" xfId="0" applyFont="1" applyFill="1" applyBorder="1" applyAlignment="1">
      <alignment horizontal="center" vertical="center" wrapText="1"/>
    </xf>
    <xf numFmtId="14" fontId="12" fillId="16" borderId="7" xfId="0" applyNumberFormat="1" applyFont="1" applyFill="1" applyBorder="1" applyAlignment="1">
      <alignment horizontal="center"/>
    </xf>
    <xf numFmtId="0" fontId="0" fillId="16" borderId="7" xfId="0" applyFill="1" applyBorder="1"/>
    <xf numFmtId="0" fontId="38" fillId="16" borderId="4" xfId="0" applyFont="1" applyFill="1" applyBorder="1" applyAlignment="1">
      <alignment horizontal="center"/>
    </xf>
    <xf numFmtId="0" fontId="12" fillId="16" borderId="4" xfId="0" applyFont="1" applyFill="1" applyBorder="1" applyAlignment="1">
      <alignment horizontal="center"/>
    </xf>
    <xf numFmtId="14" fontId="12" fillId="16" borderId="4" xfId="0" applyNumberFormat="1" applyFont="1" applyFill="1" applyBorder="1" applyAlignment="1">
      <alignment horizontal="center"/>
    </xf>
    <xf numFmtId="0" fontId="9" fillId="17" borderId="4" xfId="0" applyFont="1" applyFill="1" applyBorder="1" applyAlignment="1">
      <alignment horizontal="center" vertical="center" wrapText="1"/>
    </xf>
    <xf numFmtId="0" fontId="9" fillId="17" borderId="4" xfId="0" applyFont="1" applyFill="1" applyBorder="1" applyAlignment="1">
      <alignment horizontal="center"/>
    </xf>
    <xf numFmtId="49" fontId="0" fillId="0" borderId="0" xfId="0" applyNumberFormat="1" applyAlignment="1">
      <alignment horizontal="center" vertical="center"/>
    </xf>
    <xf numFmtId="0" fontId="12" fillId="40" borderId="4" xfId="0" applyFont="1" applyFill="1" applyBorder="1" applyAlignment="1">
      <alignment horizontal="center"/>
    </xf>
    <xf numFmtId="14" fontId="12" fillId="0" borderId="7" xfId="0" applyNumberFormat="1" applyFont="1" applyBorder="1" applyAlignment="1">
      <alignment horizontal="center"/>
    </xf>
    <xf numFmtId="0" fontId="9" fillId="30" borderId="1" xfId="0" applyFont="1" applyFill="1" applyBorder="1" applyAlignment="1">
      <alignment horizontal="center"/>
    </xf>
    <xf numFmtId="0" fontId="9" fillId="30" borderId="38" xfId="0" applyFont="1" applyFill="1" applyBorder="1" applyAlignment="1">
      <alignment horizontal="center"/>
    </xf>
    <xf numFmtId="0" fontId="19" fillId="0" borderId="0" xfId="0" applyFont="1"/>
    <xf numFmtId="0" fontId="0" fillId="36" borderId="1" xfId="0" applyFill="1" applyBorder="1"/>
    <xf numFmtId="0" fontId="0" fillId="0" borderId="11" xfId="0" applyBorder="1"/>
    <xf numFmtId="0" fontId="0" fillId="0" borderId="29" xfId="0" applyBorder="1"/>
    <xf numFmtId="0" fontId="0" fillId="0" borderId="17" xfId="0" applyBorder="1"/>
    <xf numFmtId="165" fontId="0" fillId="0" borderId="7" xfId="0" applyNumberFormat="1" applyBorder="1"/>
    <xf numFmtId="0" fontId="10" fillId="28" borderId="7" xfId="0" applyFont="1" applyFill="1" applyBorder="1"/>
    <xf numFmtId="0" fontId="0" fillId="40" borderId="7" xfId="0" applyFill="1" applyBorder="1"/>
    <xf numFmtId="0" fontId="10" fillId="17" borderId="7" xfId="0" applyFont="1" applyFill="1" applyBorder="1" applyAlignment="1">
      <alignment horizontal="center"/>
    </xf>
    <xf numFmtId="0" fontId="11" fillId="27" borderId="7" xfId="0" applyFont="1" applyFill="1" applyBorder="1" applyAlignment="1">
      <alignment horizontal="center" vertical="center"/>
    </xf>
    <xf numFmtId="0" fontId="0" fillId="36" borderId="3" xfId="0" applyFill="1" applyBorder="1"/>
    <xf numFmtId="0" fontId="11" fillId="27" borderId="2" xfId="0" applyFont="1" applyFill="1" applyBorder="1" applyAlignment="1">
      <alignment horizontal="center" vertical="center"/>
    </xf>
    <xf numFmtId="0" fontId="11" fillId="27" borderId="1" xfId="0" applyFont="1" applyFill="1" applyBorder="1" applyAlignment="1">
      <alignment horizontal="center" vertical="center" wrapText="1"/>
    </xf>
    <xf numFmtId="0" fontId="44" fillId="0" borderId="0" xfId="0" applyFont="1"/>
    <xf numFmtId="0" fontId="45" fillId="0" borderId="0" xfId="0" applyFont="1"/>
    <xf numFmtId="0" fontId="45" fillId="0" borderId="0" xfId="0" applyFont="1" applyAlignment="1">
      <alignment horizontal="center"/>
    </xf>
    <xf numFmtId="0" fontId="1" fillId="0" borderId="21" xfId="0" applyFont="1" applyBorder="1" applyAlignment="1">
      <alignment horizontal="center"/>
    </xf>
    <xf numFmtId="0" fontId="1" fillId="0" borderId="20" xfId="0" applyFont="1" applyBorder="1" applyAlignment="1">
      <alignment horizontal="center"/>
    </xf>
    <xf numFmtId="0" fontId="12" fillId="29" borderId="4" xfId="0" applyFont="1" applyFill="1" applyBorder="1" applyAlignment="1">
      <alignment horizontal="center" vertical="center" wrapText="1"/>
    </xf>
    <xf numFmtId="14" fontId="12" fillId="29" borderId="7" xfId="0" applyNumberFormat="1" applyFont="1" applyFill="1" applyBorder="1" applyAlignment="1">
      <alignment horizontal="center"/>
    </xf>
    <xf numFmtId="0" fontId="0" fillId="29" borderId="3" xfId="0" applyFill="1" applyBorder="1"/>
    <xf numFmtId="0" fontId="0" fillId="29" borderId="1" xfId="0" applyFill="1" applyBorder="1"/>
    <xf numFmtId="0" fontId="38" fillId="29" borderId="4" xfId="0" applyFont="1" applyFill="1" applyBorder="1" applyAlignment="1">
      <alignment horizontal="center"/>
    </xf>
    <xf numFmtId="0" fontId="12" fillId="29" borderId="4" xfId="0" applyFont="1" applyFill="1" applyBorder="1" applyAlignment="1">
      <alignment horizontal="center"/>
    </xf>
    <xf numFmtId="14" fontId="12" fillId="29" borderId="4" xfId="0" applyNumberFormat="1" applyFont="1" applyFill="1" applyBorder="1" applyAlignment="1">
      <alignment horizontal="center"/>
    </xf>
    <xf numFmtId="0" fontId="9" fillId="29" borderId="4" xfId="0" applyFont="1" applyFill="1" applyBorder="1" applyAlignment="1">
      <alignment horizontal="center" vertical="center" wrapText="1"/>
    </xf>
    <xf numFmtId="0" fontId="9" fillId="29" borderId="4" xfId="0" applyFont="1" applyFill="1" applyBorder="1" applyAlignment="1">
      <alignment horizontal="center"/>
    </xf>
    <xf numFmtId="0" fontId="46" fillId="0" borderId="0" xfId="0" applyFont="1"/>
    <xf numFmtId="0" fontId="46" fillId="0" borderId="0" xfId="0" applyFont="1" applyAlignment="1">
      <alignment horizontal="center"/>
    </xf>
    <xf numFmtId="0" fontId="0" fillId="43" borderId="1" xfId="0" applyFill="1" applyBorder="1" applyAlignment="1">
      <alignment horizontal="center" vertical="center"/>
    </xf>
    <xf numFmtId="0" fontId="13" fillId="21" borderId="37" xfId="0" applyFont="1" applyFill="1" applyBorder="1" applyAlignment="1">
      <alignment horizontal="center" vertical="center"/>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37" fillId="14" borderId="1" xfId="0" applyFont="1" applyFill="1" applyBorder="1" applyAlignment="1">
      <alignment horizontal="center" vertical="center" wrapText="1"/>
    </xf>
    <xf numFmtId="0" fontId="49" fillId="0" borderId="1" xfId="0" applyFont="1" applyBorder="1" applyAlignment="1">
      <alignment horizontal="left" vertical="top" wrapText="1"/>
    </xf>
    <xf numFmtId="0" fontId="50" fillId="14" borderId="1" xfId="0" applyFont="1" applyFill="1" applyBorder="1" applyAlignment="1">
      <alignment horizontal="center" vertical="center"/>
    </xf>
    <xf numFmtId="0" fontId="49" fillId="0" borderId="0" xfId="0" applyFont="1" applyAlignment="1">
      <alignment horizontal="center" vertical="center"/>
    </xf>
    <xf numFmtId="0" fontId="49" fillId="0" borderId="0" xfId="0" applyFont="1"/>
    <xf numFmtId="0" fontId="11" fillId="27" borderId="1" xfId="0" applyFont="1" applyFill="1" applyBorder="1" applyAlignment="1">
      <alignment horizontal="center" vertical="center"/>
    </xf>
    <xf numFmtId="14" fontId="0" fillId="29" borderId="1" xfId="0" applyNumberFormat="1" applyFill="1" applyBorder="1"/>
    <xf numFmtId="0" fontId="1" fillId="29" borderId="1" xfId="0" applyFont="1" applyFill="1" applyBorder="1" applyAlignment="1">
      <alignment horizontal="center"/>
    </xf>
    <xf numFmtId="0" fontId="1" fillId="16" borderId="40" xfId="0" applyFont="1" applyFill="1" applyBorder="1" applyAlignment="1">
      <alignment horizontal="center" vertical="center" wrapText="1"/>
    </xf>
    <xf numFmtId="0" fontId="11" fillId="27" borderId="20" xfId="0" applyFont="1" applyFill="1" applyBorder="1" applyAlignment="1">
      <alignment horizontal="center" vertical="center" wrapText="1"/>
    </xf>
    <xf numFmtId="0" fontId="11" fillId="16" borderId="41" xfId="0" applyFont="1" applyFill="1" applyBorder="1" applyAlignment="1">
      <alignment horizontal="center" vertical="center" wrapText="1"/>
    </xf>
    <xf numFmtId="0" fontId="1" fillId="16" borderId="41" xfId="0" applyFont="1" applyFill="1" applyBorder="1" applyAlignment="1">
      <alignment horizontal="center" vertical="center" wrapText="1"/>
    </xf>
    <xf numFmtId="0" fontId="11" fillId="16" borderId="42" xfId="0" applyFont="1" applyFill="1" applyBorder="1" applyAlignment="1">
      <alignment horizontal="center" vertical="center" wrapText="1"/>
    </xf>
    <xf numFmtId="0" fontId="1" fillId="15" borderId="20" xfId="0" applyFont="1" applyFill="1" applyBorder="1" applyAlignment="1">
      <alignment horizontal="center"/>
    </xf>
    <xf numFmtId="0" fontId="0" fillId="29" borderId="1" xfId="0" applyFill="1" applyBorder="1" applyAlignment="1">
      <alignment horizontal="center"/>
    </xf>
    <xf numFmtId="0" fontId="0" fillId="18" borderId="1" xfId="0" applyFill="1" applyBorder="1"/>
    <xf numFmtId="0" fontId="11" fillId="27" borderId="4" xfId="0" applyFont="1" applyFill="1" applyBorder="1" applyAlignment="1">
      <alignment horizontal="center" vertical="center" wrapText="1"/>
    </xf>
    <xf numFmtId="0" fontId="11" fillId="27" borderId="7" xfId="0" applyFont="1" applyFill="1" applyBorder="1" applyAlignment="1">
      <alignment horizontal="center" vertical="center" wrapText="1"/>
    </xf>
    <xf numFmtId="0" fontId="27" fillId="0" borderId="1" xfId="0" applyFont="1" applyBorder="1" applyAlignment="1">
      <alignment horizontal="center" vertical="center"/>
    </xf>
    <xf numFmtId="0" fontId="20" fillId="14" borderId="1" xfId="0" applyFont="1" applyFill="1" applyBorder="1" applyAlignment="1">
      <alignment horizontal="center" vertical="center" wrapText="1"/>
    </xf>
    <xf numFmtId="0" fontId="20" fillId="14" borderId="2" xfId="0" applyFont="1" applyFill="1" applyBorder="1" applyAlignment="1">
      <alignment horizontal="center" vertical="center" wrapText="1"/>
    </xf>
    <xf numFmtId="0" fontId="20" fillId="14" borderId="4" xfId="0" applyFont="1" applyFill="1" applyBorder="1" applyAlignment="1">
      <alignment horizontal="center" vertical="center" wrapText="1"/>
    </xf>
    <xf numFmtId="0" fontId="20" fillId="14" borderId="28" xfId="0" applyFont="1" applyFill="1" applyBorder="1" applyAlignment="1">
      <alignment horizontal="center" vertical="center" wrapText="1"/>
    </xf>
    <xf numFmtId="0" fontId="10" fillId="30" borderId="1" xfId="0" applyFont="1" applyFill="1" applyBorder="1" applyAlignment="1">
      <alignment horizontal="center"/>
    </xf>
    <xf numFmtId="0" fontId="10" fillId="30" borderId="1" xfId="0" applyFont="1" applyFill="1" applyBorder="1" applyAlignment="1">
      <alignment horizontal="center" vertical="center"/>
    </xf>
    <xf numFmtId="0" fontId="21" fillId="3" borderId="25" xfId="0" applyFont="1" applyFill="1" applyBorder="1" applyAlignment="1">
      <alignment horizontal="center" vertical="center"/>
    </xf>
    <xf numFmtId="0" fontId="49" fillId="0" borderId="1" xfId="0" applyFont="1" applyBorder="1" applyAlignment="1">
      <alignment horizontal="center" vertical="center"/>
    </xf>
    <xf numFmtId="0" fontId="55" fillId="17" borderId="0" xfId="0" applyFont="1" applyFill="1"/>
    <xf numFmtId="0" fontId="55" fillId="14" borderId="1" xfId="0" applyFont="1" applyFill="1" applyBorder="1" applyAlignment="1">
      <alignment horizontal="center" vertical="center"/>
    </xf>
    <xf numFmtId="0" fontId="55" fillId="14" borderId="1" xfId="0" applyFont="1" applyFill="1" applyBorder="1" applyAlignment="1">
      <alignment horizontal="center" vertical="center" wrapText="1"/>
    </xf>
    <xf numFmtId="0" fontId="55" fillId="14" borderId="2" xfId="0" applyFont="1" applyFill="1" applyBorder="1" applyAlignment="1">
      <alignment horizontal="center" vertical="center"/>
    </xf>
    <xf numFmtId="0" fontId="49" fillId="0" borderId="2" xfId="0" applyFont="1" applyBorder="1" applyAlignment="1">
      <alignment horizontal="center" vertical="center"/>
    </xf>
    <xf numFmtId="0" fontId="17" fillId="15" borderId="1" xfId="0" applyFont="1" applyFill="1" applyBorder="1" applyAlignment="1">
      <alignment horizontal="center" vertical="center" wrapText="1"/>
    </xf>
    <xf numFmtId="14" fontId="48" fillId="15" borderId="1" xfId="0" applyNumberFormat="1" applyFont="1" applyFill="1" applyBorder="1" applyAlignment="1">
      <alignment horizontal="center" vertical="center"/>
    </xf>
    <xf numFmtId="0" fontId="11" fillId="15" borderId="1" xfId="0" applyFont="1" applyFill="1" applyBorder="1" applyAlignment="1">
      <alignment horizontal="center" vertical="center" wrapText="1"/>
    </xf>
    <xf numFmtId="0" fontId="56" fillId="45" borderId="1" xfId="0" applyFont="1" applyFill="1" applyBorder="1" applyAlignment="1">
      <alignment horizontal="center" vertical="center" wrapText="1"/>
    </xf>
    <xf numFmtId="0" fontId="57" fillId="0" borderId="1" xfId="2" applyFont="1" applyBorder="1" applyAlignment="1">
      <alignment horizontal="center" vertical="center"/>
    </xf>
    <xf numFmtId="0" fontId="22" fillId="46" borderId="1" xfId="0" applyFont="1" applyFill="1" applyBorder="1" applyAlignment="1">
      <alignment horizontal="center" vertical="center"/>
    </xf>
    <xf numFmtId="0" fontId="22" fillId="46" borderId="1" xfId="0" applyFont="1" applyFill="1" applyBorder="1" applyAlignment="1">
      <alignment horizontal="center" vertical="center" wrapText="1"/>
    </xf>
    <xf numFmtId="0" fontId="58" fillId="0" borderId="1" xfId="0" applyFont="1" applyBorder="1" applyAlignment="1">
      <alignment horizontal="center" vertical="center"/>
    </xf>
    <xf numFmtId="0" fontId="58" fillId="0" borderId="1" xfId="0" applyFont="1" applyBorder="1" applyAlignment="1">
      <alignment horizontal="center" vertical="center" wrapText="1"/>
    </xf>
    <xf numFmtId="0" fontId="0" fillId="47" borderId="43" xfId="0" applyFill="1" applyBorder="1" applyAlignment="1">
      <alignment horizontal="center" vertical="center"/>
    </xf>
    <xf numFmtId="0" fontId="0" fillId="0" borderId="44" xfId="0" applyBorder="1" applyAlignment="1">
      <alignment horizontal="center" vertical="center"/>
    </xf>
    <xf numFmtId="0" fontId="1" fillId="30" borderId="44" xfId="0" applyFont="1" applyFill="1" applyBorder="1" applyAlignment="1">
      <alignment horizontal="center" vertical="center"/>
    </xf>
    <xf numFmtId="0" fontId="1" fillId="48" borderId="44" xfId="0" applyFont="1" applyFill="1" applyBorder="1" applyAlignment="1">
      <alignment horizontal="center" vertical="center"/>
    </xf>
    <xf numFmtId="0" fontId="1" fillId="21" borderId="44" xfId="0" applyFont="1" applyFill="1" applyBorder="1" applyAlignment="1">
      <alignment horizontal="center" vertical="center"/>
    </xf>
    <xf numFmtId="0" fontId="1" fillId="32" borderId="44" xfId="0" applyFont="1" applyFill="1" applyBorder="1" applyAlignment="1">
      <alignment horizontal="center" vertical="center"/>
    </xf>
    <xf numFmtId="0" fontId="1" fillId="16" borderId="44" xfId="0" applyFont="1" applyFill="1" applyBorder="1" applyAlignment="1">
      <alignment horizontal="center" vertical="center"/>
    </xf>
    <xf numFmtId="0" fontId="9" fillId="31" borderId="44" xfId="0" applyFont="1" applyFill="1" applyBorder="1" applyAlignment="1">
      <alignment horizontal="center" vertical="center"/>
    </xf>
    <xf numFmtId="0" fontId="0" fillId="47" borderId="45" xfId="0" applyFill="1" applyBorder="1" applyAlignment="1">
      <alignment horizontal="center" vertical="center"/>
    </xf>
    <xf numFmtId="0" fontId="1" fillId="30" borderId="46" xfId="0" applyFont="1" applyFill="1" applyBorder="1" applyAlignment="1">
      <alignment horizontal="center" vertical="center"/>
    </xf>
    <xf numFmtId="0" fontId="0" fillId="47" borderId="47" xfId="0" applyFill="1" applyBorder="1" applyAlignment="1">
      <alignment horizontal="center" vertical="center"/>
    </xf>
    <xf numFmtId="0" fontId="1" fillId="30" borderId="49" xfId="0" applyFont="1" applyFill="1" applyBorder="1" applyAlignment="1">
      <alignment horizontal="center" vertical="center"/>
    </xf>
    <xf numFmtId="0" fontId="0" fillId="47" borderId="50" xfId="0" applyFill="1" applyBorder="1" applyAlignment="1">
      <alignment horizontal="center" vertical="center"/>
    </xf>
    <xf numFmtId="0" fontId="0" fillId="0" borderId="51" xfId="0" applyBorder="1" applyAlignment="1">
      <alignment horizontal="center" vertical="center"/>
    </xf>
    <xf numFmtId="0" fontId="5" fillId="3" borderId="52" xfId="0" applyFont="1" applyFill="1" applyBorder="1" applyAlignment="1">
      <alignment horizontal="center" vertical="center" wrapText="1"/>
    </xf>
    <xf numFmtId="0" fontId="5" fillId="3" borderId="53"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17" fillId="0" borderId="8" xfId="0" applyFont="1" applyBorder="1" applyAlignment="1">
      <alignment horizontal="center" vertical="center"/>
    </xf>
    <xf numFmtId="0" fontId="17" fillId="0" borderId="4" xfId="0" applyFont="1" applyBorder="1" applyAlignment="1">
      <alignment horizontal="center" vertical="center"/>
    </xf>
    <xf numFmtId="0" fontId="16" fillId="6" borderId="17" xfId="0" applyFont="1" applyFill="1" applyBorder="1" applyAlignment="1">
      <alignment horizontal="center" vertical="center"/>
    </xf>
    <xf numFmtId="0" fontId="16" fillId="6" borderId="7" xfId="0" applyFont="1" applyFill="1" applyBorder="1" applyAlignment="1">
      <alignment horizontal="center" vertical="center"/>
    </xf>
    <xf numFmtId="0" fontId="16" fillId="6" borderId="4" xfId="0" applyFont="1" applyFill="1" applyBorder="1" applyAlignment="1">
      <alignment horizontal="center" vertical="center"/>
    </xf>
    <xf numFmtId="165" fontId="16" fillId="6" borderId="4" xfId="0" applyNumberFormat="1" applyFont="1" applyFill="1" applyBorder="1" applyAlignment="1">
      <alignment horizontal="center" vertical="center"/>
    </xf>
    <xf numFmtId="165" fontId="16" fillId="6" borderId="5" xfId="0" applyNumberFormat="1" applyFont="1" applyFill="1" applyBorder="1" applyAlignment="1">
      <alignment horizontal="center" vertical="center"/>
    </xf>
    <xf numFmtId="0" fontId="16" fillId="6" borderId="48" xfId="0" applyFont="1" applyFill="1" applyBorder="1" applyAlignment="1">
      <alignment horizontal="center" vertical="center"/>
    </xf>
    <xf numFmtId="0" fontId="11" fillId="0" borderId="8"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48" xfId="0" applyFont="1" applyBorder="1" applyAlignment="1">
      <alignment horizontal="center" vertical="center"/>
    </xf>
    <xf numFmtId="0" fontId="60" fillId="0" borderId="1" xfId="0" applyFont="1" applyBorder="1" applyAlignment="1">
      <alignment horizontal="center" vertical="center"/>
    </xf>
    <xf numFmtId="0" fontId="60" fillId="29" borderId="1" xfId="0" applyFont="1" applyFill="1" applyBorder="1" applyAlignment="1">
      <alignment horizontal="center" vertical="center"/>
    </xf>
    <xf numFmtId="0" fontId="66" fillId="0" borderId="1" xfId="1" applyFont="1" applyBorder="1" applyAlignment="1">
      <alignment horizontal="left" vertical="center"/>
    </xf>
    <xf numFmtId="0" fontId="66" fillId="0" borderId="1" xfId="2" applyFont="1" applyBorder="1" applyAlignment="1">
      <alignment horizontal="left" vertical="center"/>
    </xf>
    <xf numFmtId="0" fontId="16" fillId="0" borderId="1" xfId="0" applyFont="1" applyBorder="1" applyAlignment="1">
      <alignment horizontal="left" vertical="center"/>
    </xf>
    <xf numFmtId="0" fontId="66" fillId="0" borderId="1" xfId="1" applyFont="1" applyFill="1" applyBorder="1" applyAlignment="1">
      <alignment horizontal="left" vertical="center"/>
    </xf>
    <xf numFmtId="0" fontId="66" fillId="0" borderId="20" xfId="1" applyFont="1" applyBorder="1" applyAlignment="1">
      <alignment horizontal="left" vertical="center"/>
    </xf>
    <xf numFmtId="0" fontId="47" fillId="0" borderId="0" xfId="0" applyFont="1"/>
    <xf numFmtId="0" fontId="60" fillId="44" borderId="1" xfId="0" applyFont="1" applyFill="1" applyBorder="1" applyAlignment="1">
      <alignment horizontal="center" vertical="center"/>
    </xf>
    <xf numFmtId="0" fontId="68" fillId="44" borderId="1" xfId="0" applyFont="1" applyFill="1" applyBorder="1" applyAlignment="1">
      <alignment horizontal="center" vertical="center"/>
    </xf>
    <xf numFmtId="18" fontId="68" fillId="44" borderId="1" xfId="0" applyNumberFormat="1" applyFont="1" applyFill="1" applyBorder="1" applyAlignment="1">
      <alignment horizontal="center" vertical="center"/>
    </xf>
    <xf numFmtId="0" fontId="68" fillId="44" borderId="1" xfId="0" applyFont="1" applyFill="1" applyBorder="1" applyAlignment="1">
      <alignment horizontal="center" vertical="center" wrapText="1"/>
    </xf>
    <xf numFmtId="0" fontId="68" fillId="0" borderId="1" xfId="0" applyFont="1" applyBorder="1" applyAlignment="1">
      <alignment horizontal="center" vertical="center"/>
    </xf>
    <xf numFmtId="0" fontId="12" fillId="16" borderId="7" xfId="0" applyFont="1" applyFill="1" applyBorder="1" applyAlignment="1">
      <alignment horizontal="center" vertical="center" wrapText="1"/>
    </xf>
    <xf numFmtId="0" fontId="12" fillId="29" borderId="7" xfId="0" applyFont="1" applyFill="1" applyBorder="1" applyAlignment="1">
      <alignment horizontal="center" vertical="center" wrapText="1"/>
    </xf>
    <xf numFmtId="164" fontId="11" fillId="27" borderId="7" xfId="0" applyNumberFormat="1" applyFont="1" applyFill="1" applyBorder="1" applyAlignment="1">
      <alignment horizontal="center" vertical="center" wrapText="1"/>
    </xf>
    <xf numFmtId="0" fontId="46" fillId="15" borderId="1" xfId="0" applyFont="1" applyFill="1" applyBorder="1" applyAlignment="1">
      <alignment horizontal="center"/>
    </xf>
    <xf numFmtId="0" fontId="0" fillId="15" borderId="1" xfId="0" applyFill="1" applyBorder="1" applyAlignment="1">
      <alignment horizontal="center" vertical="center"/>
    </xf>
    <xf numFmtId="0" fontId="36" fillId="0" borderId="21" xfId="0" applyFont="1" applyBorder="1" applyAlignment="1">
      <alignment horizontal="center"/>
    </xf>
    <xf numFmtId="0" fontId="36" fillId="0" borderId="20" xfId="0" applyFont="1" applyBorder="1" applyAlignment="1">
      <alignment horizontal="center"/>
    </xf>
    <xf numFmtId="14" fontId="36" fillId="0" borderId="20" xfId="0" applyNumberFormat="1" applyFont="1" applyBorder="1" applyAlignment="1">
      <alignment horizontal="center"/>
    </xf>
    <xf numFmtId="0" fontId="70" fillId="0" borderId="1" xfId="0" applyFont="1" applyBorder="1"/>
    <xf numFmtId="0" fontId="6" fillId="0" borderId="1" xfId="1" applyBorder="1" applyAlignment="1">
      <alignment horizontal="center" vertical="center"/>
    </xf>
    <xf numFmtId="0" fontId="11" fillId="16"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71" fillId="0" borderId="1" xfId="0" applyFont="1" applyBorder="1" applyAlignment="1">
      <alignment horizontal="center"/>
    </xf>
    <xf numFmtId="0" fontId="18" fillId="0" borderId="1" xfId="0" applyFont="1" applyBorder="1" applyAlignment="1">
      <alignment horizontal="center"/>
    </xf>
    <xf numFmtId="0" fontId="18" fillId="29" borderId="1" xfId="0" applyFont="1" applyFill="1" applyBorder="1" applyAlignment="1">
      <alignment horizontal="center"/>
    </xf>
    <xf numFmtId="0" fontId="18" fillId="38" borderId="1" xfId="0" applyFont="1" applyFill="1" applyBorder="1" applyAlignment="1">
      <alignment horizontal="center"/>
    </xf>
    <xf numFmtId="0" fontId="72" fillId="0" borderId="1" xfId="0" applyFont="1" applyBorder="1"/>
    <xf numFmtId="0" fontId="73" fillId="0" borderId="1" xfId="0" applyFont="1" applyBorder="1"/>
    <xf numFmtId="0" fontId="18" fillId="47" borderId="1" xfId="0" applyFont="1" applyFill="1" applyBorder="1" applyAlignment="1">
      <alignment horizontal="center"/>
    </xf>
    <xf numFmtId="0" fontId="72" fillId="47" borderId="1" xfId="0" applyFont="1" applyFill="1" applyBorder="1"/>
    <xf numFmtId="0" fontId="12" fillId="0" borderId="1" xfId="0" applyFont="1" applyBorder="1" applyAlignment="1">
      <alignment horizontal="center" vertical="center" wrapText="1"/>
    </xf>
    <xf numFmtId="0" fontId="12" fillId="0" borderId="1" xfId="0" applyFont="1" applyBorder="1" applyAlignment="1">
      <alignment horizontal="left"/>
    </xf>
    <xf numFmtId="14" fontId="33" fillId="41" borderId="1" xfId="0" applyNumberFormat="1" applyFont="1" applyFill="1" applyBorder="1" applyAlignment="1">
      <alignment vertical="center"/>
    </xf>
    <xf numFmtId="0" fontId="28" fillId="37" borderId="1" xfId="0" applyFont="1" applyFill="1" applyBorder="1" applyAlignment="1">
      <alignment vertical="center"/>
    </xf>
    <xf numFmtId="0" fontId="0" fillId="0" borderId="0" xfId="0" applyAlignment="1">
      <alignment vertical="center"/>
    </xf>
    <xf numFmtId="0" fontId="11" fillId="27" borderId="1" xfId="0" applyFont="1" applyFill="1" applyBorder="1" applyAlignment="1">
      <alignment horizontal="left" vertical="center"/>
    </xf>
    <xf numFmtId="0" fontId="12" fillId="16" borderId="1" xfId="0" applyFont="1" applyFill="1" applyBorder="1" applyAlignment="1">
      <alignment horizontal="center" vertical="center" wrapText="1"/>
    </xf>
    <xf numFmtId="0" fontId="12" fillId="16" borderId="1" xfId="0" applyFont="1" applyFill="1" applyBorder="1" applyAlignment="1">
      <alignment horizontal="left"/>
    </xf>
    <xf numFmtId="0" fontId="38" fillId="16" borderId="1" xfId="0" applyFont="1" applyFill="1" applyBorder="1" applyAlignment="1">
      <alignment horizontal="left"/>
    </xf>
    <xf numFmtId="0" fontId="38" fillId="0" borderId="1" xfId="0" applyFont="1" applyBorder="1" applyAlignment="1">
      <alignment horizontal="left"/>
    </xf>
    <xf numFmtId="0" fontId="41" fillId="15" borderId="1" xfId="0" applyFont="1" applyFill="1" applyBorder="1" applyAlignment="1">
      <alignment horizontal="center" vertical="center" wrapText="1"/>
    </xf>
    <xf numFmtId="0" fontId="41" fillId="15" borderId="1" xfId="0" applyFont="1" applyFill="1" applyBorder="1" applyAlignment="1">
      <alignment horizontal="left"/>
    </xf>
    <xf numFmtId="0" fontId="6" fillId="0" borderId="1" xfId="2" applyBorder="1" applyAlignment="1">
      <alignment horizontal="left" vertical="center"/>
    </xf>
    <xf numFmtId="0" fontId="6" fillId="29" borderId="1" xfId="2" applyFill="1" applyBorder="1" applyAlignment="1">
      <alignment horizontal="left" vertical="center"/>
    </xf>
    <xf numFmtId="0" fontId="0" fillId="0" borderId="1" xfId="0" applyBorder="1" applyAlignment="1">
      <alignment vertical="center"/>
    </xf>
    <xf numFmtId="0" fontId="6" fillId="0" borderId="1" xfId="2" applyBorder="1" applyAlignment="1">
      <alignment vertical="center"/>
    </xf>
    <xf numFmtId="0" fontId="61" fillId="3" borderId="16" xfId="0" applyFont="1" applyFill="1" applyBorder="1" applyAlignment="1">
      <alignment horizontal="center" vertical="center"/>
    </xf>
    <xf numFmtId="49" fontId="21" fillId="3" borderId="24" xfId="0" applyNumberFormat="1" applyFont="1" applyFill="1" applyBorder="1" applyAlignment="1">
      <alignment horizontal="center" vertical="center"/>
    </xf>
    <xf numFmtId="0" fontId="22" fillId="0" borderId="0" xfId="0" applyFont="1"/>
    <xf numFmtId="0" fontId="22" fillId="0" borderId="0" xfId="0" applyFont="1" applyAlignment="1">
      <alignment vertical="center"/>
    </xf>
    <xf numFmtId="0" fontId="74" fillId="0" borderId="0" xfId="0" applyFont="1" applyAlignment="1">
      <alignment vertical="center"/>
    </xf>
    <xf numFmtId="0" fontId="53" fillId="33" borderId="1" xfId="0" applyFont="1" applyFill="1" applyBorder="1" applyAlignment="1">
      <alignment horizontal="center" vertical="center"/>
    </xf>
    <xf numFmtId="0" fontId="53" fillId="0" borderId="0" xfId="0" applyFont="1"/>
    <xf numFmtId="0" fontId="53" fillId="5" borderId="1" xfId="0" applyFont="1" applyFill="1" applyBorder="1" applyAlignment="1">
      <alignment horizontal="center" vertical="center"/>
    </xf>
    <xf numFmtId="0" fontId="53" fillId="2" borderId="1" xfId="0" applyFont="1" applyFill="1" applyBorder="1" applyAlignment="1">
      <alignment horizontal="center" vertical="center"/>
    </xf>
    <xf numFmtId="0" fontId="53" fillId="0" borderId="1" xfId="0" applyFont="1" applyBorder="1" applyAlignment="1">
      <alignment horizontal="center" vertical="center"/>
    </xf>
    <xf numFmtId="0" fontId="53" fillId="2" borderId="1" xfId="0" applyFont="1" applyFill="1" applyBorder="1" applyAlignment="1">
      <alignment horizontal="center"/>
    </xf>
    <xf numFmtId="0" fontId="53" fillId="0" borderId="1" xfId="0" applyFont="1" applyBorder="1" applyAlignment="1">
      <alignment horizontal="center"/>
    </xf>
    <xf numFmtId="0" fontId="53" fillId="34" borderId="1" xfId="0" applyFont="1" applyFill="1" applyBorder="1" applyAlignment="1">
      <alignment horizontal="center" vertical="center"/>
    </xf>
    <xf numFmtId="0" fontId="76" fillId="3" borderId="13" xfId="0" applyFont="1" applyFill="1" applyBorder="1" applyAlignment="1">
      <alignment horizontal="center" vertical="center"/>
    </xf>
    <xf numFmtId="0" fontId="0" fillId="16" borderId="1" xfId="0" applyFill="1" applyBorder="1" applyAlignment="1">
      <alignment vertical="center"/>
    </xf>
    <xf numFmtId="0" fontId="8" fillId="16" borderId="1" xfId="0" applyFont="1" applyFill="1" applyBorder="1" applyAlignment="1">
      <alignment horizontal="center" vertical="center"/>
    </xf>
    <xf numFmtId="0" fontId="36" fillId="0" borderId="1" xfId="0" applyFont="1" applyBorder="1" applyAlignment="1">
      <alignment horizontal="center" vertical="center"/>
    </xf>
    <xf numFmtId="0" fontId="36" fillId="15" borderId="1" xfId="0" applyFont="1" applyFill="1" applyBorder="1" applyAlignment="1">
      <alignment horizontal="center" vertical="center"/>
    </xf>
    <xf numFmtId="0" fontId="42" fillId="0" borderId="0" xfId="0" applyFont="1" applyAlignment="1">
      <alignment vertical="center"/>
    </xf>
    <xf numFmtId="0" fontId="0" fillId="0" borderId="0" xfId="0" applyAlignment="1">
      <alignment horizontal="left" vertical="center"/>
    </xf>
    <xf numFmtId="0" fontId="38" fillId="56" borderId="1" xfId="0" applyFont="1" applyFill="1" applyBorder="1" applyAlignment="1">
      <alignment horizontal="left" vertical="center" wrapText="1"/>
    </xf>
    <xf numFmtId="0" fontId="42" fillId="21" borderId="1" xfId="0" applyFont="1" applyFill="1" applyBorder="1" applyAlignment="1">
      <alignment horizontal="center" vertical="center" wrapText="1"/>
    </xf>
    <xf numFmtId="165" fontId="0" fillId="0" borderId="1" xfId="0" applyNumberFormat="1" applyBorder="1"/>
    <xf numFmtId="0" fontId="0" fillId="0" borderId="1" xfId="0" applyBorder="1" applyAlignment="1">
      <alignment vertical="top" wrapText="1"/>
    </xf>
    <xf numFmtId="0" fontId="59" fillId="0" borderId="10" xfId="0" applyFont="1" applyBorder="1" applyAlignment="1">
      <alignment horizontal="center"/>
    </xf>
    <xf numFmtId="14" fontId="23" fillId="0" borderId="10" xfId="0" applyNumberFormat="1" applyFont="1" applyBorder="1" applyAlignment="1">
      <alignment horizontal="center" vertical="center"/>
    </xf>
    <xf numFmtId="0" fontId="23" fillId="0" borderId="10" xfId="0" applyFont="1" applyBorder="1" applyAlignment="1">
      <alignment horizontal="center" vertical="center"/>
    </xf>
    <xf numFmtId="0" fontId="16" fillId="0" borderId="10" xfId="0" applyFont="1" applyBorder="1" applyAlignment="1">
      <alignment horizontal="center" vertical="center"/>
    </xf>
    <xf numFmtId="165" fontId="16" fillId="0" borderId="10" xfId="0" applyNumberFormat="1" applyFont="1" applyBorder="1" applyAlignment="1">
      <alignment horizontal="center" vertical="center"/>
    </xf>
    <xf numFmtId="0" fontId="16" fillId="0" borderId="10" xfId="0" applyFont="1" applyBorder="1" applyAlignment="1">
      <alignment horizontal="left" vertical="center" wrapText="1"/>
    </xf>
    <xf numFmtId="0" fontId="23" fillId="0" borderId="10" xfId="0" applyFont="1" applyBorder="1" applyAlignment="1">
      <alignment horizontal="center" vertical="center" wrapText="1"/>
    </xf>
    <xf numFmtId="0" fontId="67" fillId="0" borderId="10" xfId="0" applyFont="1" applyBorder="1" applyAlignment="1">
      <alignment vertical="center"/>
    </xf>
    <xf numFmtId="14" fontId="0" fillId="0" borderId="0" xfId="0" applyNumberFormat="1"/>
    <xf numFmtId="3" fontId="0" fillId="0" borderId="0" xfId="0" applyNumberFormat="1"/>
    <xf numFmtId="0" fontId="81" fillId="64" borderId="9" xfId="0" applyFont="1" applyFill="1" applyBorder="1" applyAlignment="1">
      <alignment horizontal="left" vertical="center" wrapText="1"/>
    </xf>
    <xf numFmtId="0" fontId="81" fillId="0" borderId="10" xfId="0" applyFont="1" applyBorder="1" applyAlignment="1">
      <alignment horizontal="left" vertical="center" wrapText="1"/>
    </xf>
    <xf numFmtId="0" fontId="77" fillId="19" borderId="56" xfId="0" applyFont="1" applyFill="1" applyBorder="1" applyAlignment="1">
      <alignment horizontal="left" vertical="center" wrapText="1"/>
    </xf>
    <xf numFmtId="0" fontId="77" fillId="19" borderId="57" xfId="0" applyFont="1" applyFill="1" applyBorder="1" applyAlignment="1">
      <alignment horizontal="center" vertical="center" wrapText="1"/>
    </xf>
    <xf numFmtId="0" fontId="77" fillId="19" borderId="58" xfId="0" applyFont="1" applyFill="1" applyBorder="1" applyAlignment="1">
      <alignment horizontal="center" vertical="center" wrapText="1"/>
    </xf>
    <xf numFmtId="0" fontId="42" fillId="0" borderId="0" xfId="0" applyFont="1" applyAlignment="1">
      <alignment wrapText="1"/>
    </xf>
    <xf numFmtId="0" fontId="42" fillId="2" borderId="22" xfId="0" applyFont="1" applyFill="1" applyBorder="1" applyAlignment="1">
      <alignment horizontal="center" vertical="center" wrapText="1"/>
    </xf>
    <xf numFmtId="0" fontId="42" fillId="21" borderId="23" xfId="0" applyFont="1" applyFill="1" applyBorder="1" applyAlignment="1">
      <alignment horizontal="center" vertical="center" wrapText="1"/>
    </xf>
    <xf numFmtId="0" fontId="77" fillId="20" borderId="55" xfId="0" applyFont="1" applyFill="1" applyBorder="1" applyAlignment="1">
      <alignment horizontal="left" vertical="center" wrapText="1"/>
    </xf>
    <xf numFmtId="14" fontId="42" fillId="21" borderId="10" xfId="0" applyNumberFormat="1" applyFont="1" applyFill="1" applyBorder="1" applyAlignment="1">
      <alignment horizontal="center" vertical="center" wrapText="1"/>
    </xf>
    <xf numFmtId="14" fontId="42" fillId="2" borderId="10" xfId="0" applyNumberFormat="1" applyFont="1" applyFill="1" applyBorder="1" applyAlignment="1">
      <alignment horizontal="center" vertical="center" wrapText="1"/>
    </xf>
    <xf numFmtId="14" fontId="42" fillId="22" borderId="10" xfId="0" applyNumberFormat="1" applyFont="1" applyFill="1" applyBorder="1" applyAlignment="1">
      <alignment horizontal="center" vertical="center" wrapText="1"/>
    </xf>
    <xf numFmtId="167" fontId="42" fillId="21" borderId="10" xfId="0" applyNumberFormat="1" applyFont="1" applyFill="1" applyBorder="1" applyAlignment="1">
      <alignment horizontal="center" vertical="center" wrapText="1"/>
    </xf>
    <xf numFmtId="14" fontId="42" fillId="21" borderId="34" xfId="0" applyNumberFormat="1" applyFont="1" applyFill="1" applyBorder="1" applyAlignment="1">
      <alignment horizontal="center" vertical="center" wrapText="1"/>
    </xf>
    <xf numFmtId="14" fontId="42" fillId="23" borderId="10" xfId="0" applyNumberFormat="1" applyFont="1" applyFill="1" applyBorder="1" applyAlignment="1">
      <alignment horizontal="center" vertical="center" wrapText="1"/>
    </xf>
    <xf numFmtId="0" fontId="42" fillId="25" borderId="10" xfId="0" applyFont="1" applyFill="1" applyBorder="1" applyAlignment="1">
      <alignment horizontal="center" vertical="center" wrapText="1"/>
    </xf>
    <xf numFmtId="0" fontId="42" fillId="21" borderId="10" xfId="0" applyFont="1" applyFill="1" applyBorder="1" applyAlignment="1">
      <alignment horizontal="center" vertical="center" wrapText="1"/>
    </xf>
    <xf numFmtId="14" fontId="42" fillId="59" borderId="10" xfId="0" applyNumberFormat="1" applyFont="1" applyFill="1" applyBorder="1" applyAlignment="1">
      <alignment horizontal="center" vertical="center" wrapText="1"/>
    </xf>
    <xf numFmtId="0" fontId="42" fillId="21" borderId="34" xfId="0" applyFont="1" applyFill="1" applyBorder="1" applyAlignment="1">
      <alignment horizontal="center" vertical="center" wrapText="1"/>
    </xf>
    <xf numFmtId="0" fontId="42" fillId="21" borderId="25" xfId="0" applyFont="1" applyFill="1" applyBorder="1" applyAlignment="1">
      <alignment horizontal="center" vertical="center" wrapText="1"/>
    </xf>
    <xf numFmtId="14" fontId="42" fillId="24" borderId="10" xfId="0" applyNumberFormat="1" applyFont="1" applyFill="1" applyBorder="1" applyAlignment="1">
      <alignment horizontal="center" vertical="center" wrapText="1"/>
    </xf>
    <xf numFmtId="167" fontId="42" fillId="25" borderId="10" xfId="0" applyNumberFormat="1" applyFont="1" applyFill="1" applyBorder="1" applyAlignment="1">
      <alignment horizontal="center" vertical="center" wrapText="1"/>
    </xf>
    <xf numFmtId="14" fontId="42" fillId="24" borderId="34" xfId="0" applyNumberFormat="1" applyFont="1" applyFill="1" applyBorder="1" applyAlignment="1">
      <alignment horizontal="center" vertical="center" wrapText="1"/>
    </xf>
    <xf numFmtId="0" fontId="84" fillId="2" borderId="26" xfId="0" applyFont="1" applyFill="1" applyBorder="1" applyAlignment="1">
      <alignment horizontal="center" vertical="center" wrapText="1"/>
    </xf>
    <xf numFmtId="0" fontId="84" fillId="21" borderId="1" xfId="0" applyFont="1" applyFill="1" applyBorder="1" applyAlignment="1">
      <alignment horizontal="center" vertical="center" wrapText="1"/>
    </xf>
    <xf numFmtId="14" fontId="42" fillId="25" borderId="10" xfId="0" applyNumberFormat="1" applyFont="1" applyFill="1" applyBorder="1" applyAlignment="1">
      <alignment horizontal="center" vertical="center" wrapText="1"/>
    </xf>
    <xf numFmtId="14" fontId="42" fillId="51" borderId="10" xfId="0" applyNumberFormat="1" applyFont="1" applyFill="1" applyBorder="1" applyAlignment="1">
      <alignment horizontal="center" vertical="center" wrapText="1"/>
    </xf>
    <xf numFmtId="14" fontId="42" fillId="60" borderId="10" xfId="0" applyNumberFormat="1" applyFont="1" applyFill="1" applyBorder="1" applyAlignment="1">
      <alignment horizontal="center" vertical="center" wrapText="1"/>
    </xf>
    <xf numFmtId="0" fontId="84" fillId="63" borderId="10" xfId="0" applyFont="1" applyFill="1" applyBorder="1" applyAlignment="1">
      <alignment horizontal="center" vertical="center" wrapText="1"/>
    </xf>
    <xf numFmtId="0" fontId="84" fillId="2" borderId="22" xfId="0" applyFont="1" applyFill="1" applyBorder="1" applyAlignment="1">
      <alignment horizontal="center" vertical="center" wrapText="1"/>
    </xf>
    <xf numFmtId="0" fontId="84" fillId="21" borderId="27" xfId="0" applyFont="1" applyFill="1" applyBorder="1" applyAlignment="1">
      <alignment horizontal="center" vertical="center" wrapText="1"/>
    </xf>
    <xf numFmtId="14" fontId="42" fillId="54" borderId="10" xfId="0" applyNumberFormat="1" applyFont="1" applyFill="1" applyBorder="1" applyAlignment="1">
      <alignment horizontal="center" vertical="center" wrapText="1"/>
    </xf>
    <xf numFmtId="0" fontId="84" fillId="21" borderId="10" xfId="0" applyFont="1" applyFill="1" applyBorder="1" applyAlignment="1">
      <alignment horizontal="center" vertical="center" wrapText="1"/>
    </xf>
    <xf numFmtId="14" fontId="42" fillId="23" borderId="34" xfId="0" applyNumberFormat="1" applyFont="1" applyFill="1" applyBorder="1" applyAlignment="1">
      <alignment horizontal="center" vertical="center" wrapText="1"/>
    </xf>
    <xf numFmtId="14" fontId="42" fillId="57" borderId="4" xfId="0" applyNumberFormat="1" applyFont="1" applyFill="1" applyBorder="1" applyAlignment="1">
      <alignment horizontal="center" vertical="center" wrapText="1"/>
    </xf>
    <xf numFmtId="167" fontId="42" fillId="57" borderId="4" xfId="0" applyNumberFormat="1" applyFont="1" applyFill="1" applyBorder="1" applyAlignment="1">
      <alignment horizontal="center" vertical="center" wrapText="1"/>
    </xf>
    <xf numFmtId="0" fontId="77" fillId="29" borderId="55" xfId="0" applyFont="1" applyFill="1" applyBorder="1" applyAlignment="1">
      <alignment horizontal="left" vertical="center" wrapText="1"/>
    </xf>
    <xf numFmtId="14" fontId="84" fillId="45" borderId="10" xfId="0" applyNumberFormat="1" applyFont="1" applyFill="1" applyBorder="1" applyAlignment="1">
      <alignment horizontal="center" vertical="center" wrapText="1"/>
    </xf>
    <xf numFmtId="0" fontId="42" fillId="63" borderId="10" xfId="0" applyFont="1" applyFill="1" applyBorder="1" applyAlignment="1">
      <alignment horizontal="center" vertical="center" wrapText="1"/>
    </xf>
    <xf numFmtId="0" fontId="84" fillId="21" borderId="23" xfId="0" applyFont="1" applyFill="1" applyBorder="1" applyAlignment="1">
      <alignment horizontal="center" vertical="center" wrapText="1"/>
    </xf>
    <xf numFmtId="14" fontId="42" fillId="52" borderId="10" xfId="0" applyNumberFormat="1" applyFont="1" applyFill="1" applyBorder="1" applyAlignment="1">
      <alignment horizontal="center" vertical="center" wrapText="1"/>
    </xf>
    <xf numFmtId="0" fontId="42" fillId="51" borderId="10" xfId="0" applyFont="1" applyFill="1" applyBorder="1" applyAlignment="1">
      <alignment horizontal="center" vertical="center" wrapText="1"/>
    </xf>
    <xf numFmtId="14" fontId="42" fillId="62" borderId="10" xfId="0" applyNumberFormat="1" applyFont="1" applyFill="1" applyBorder="1" applyAlignment="1">
      <alignment horizontal="center" vertical="center" wrapText="1"/>
    </xf>
    <xf numFmtId="0" fontId="85" fillId="63" borderId="10" xfId="0" applyFont="1" applyFill="1" applyBorder="1" applyAlignment="1">
      <alignment horizontal="center" vertical="center" wrapText="1"/>
    </xf>
    <xf numFmtId="0" fontId="42" fillId="23" borderId="34" xfId="0" applyFont="1" applyFill="1" applyBorder="1" applyAlignment="1">
      <alignment horizontal="center" vertical="center" wrapText="1"/>
    </xf>
    <xf numFmtId="14" fontId="42" fillId="61" borderId="10" xfId="0" applyNumberFormat="1" applyFont="1" applyFill="1" applyBorder="1" applyAlignment="1">
      <alignment horizontal="center" vertical="center" wrapText="1"/>
    </xf>
    <xf numFmtId="167" fontId="42" fillId="23" borderId="10" xfId="0" applyNumberFormat="1" applyFont="1" applyFill="1" applyBorder="1" applyAlignment="1">
      <alignment horizontal="center" vertical="center" wrapText="1"/>
    </xf>
    <xf numFmtId="167" fontId="42" fillId="23" borderId="34" xfId="0" applyNumberFormat="1" applyFont="1" applyFill="1" applyBorder="1" applyAlignment="1">
      <alignment horizontal="center" vertical="center" wrapText="1"/>
    </xf>
    <xf numFmtId="14" fontId="42" fillId="22" borderId="34" xfId="0" applyNumberFormat="1" applyFont="1" applyFill="1" applyBorder="1" applyAlignment="1">
      <alignment horizontal="center" vertical="center" wrapText="1"/>
    </xf>
    <xf numFmtId="167" fontId="42" fillId="22" borderId="10" xfId="0" applyNumberFormat="1" applyFont="1" applyFill="1" applyBorder="1" applyAlignment="1">
      <alignment horizontal="center" vertical="center" wrapText="1"/>
    </xf>
    <xf numFmtId="14" fontId="42" fillId="53" borderId="10" xfId="0" applyNumberFormat="1" applyFont="1" applyFill="1" applyBorder="1" applyAlignment="1">
      <alignment horizontal="center" vertical="center" wrapText="1"/>
    </xf>
    <xf numFmtId="0" fontId="42" fillId="25" borderId="34" xfId="0" applyFont="1" applyFill="1" applyBorder="1" applyAlignment="1">
      <alignment horizontal="center" vertical="center" wrapText="1"/>
    </xf>
    <xf numFmtId="0" fontId="42" fillId="21" borderId="10" xfId="0" applyFont="1" applyFill="1" applyBorder="1" applyAlignment="1">
      <alignment wrapText="1"/>
    </xf>
    <xf numFmtId="14" fontId="78" fillId="23" borderId="10" xfId="0" applyNumberFormat="1" applyFont="1" applyFill="1" applyBorder="1" applyAlignment="1">
      <alignment horizontal="center" vertical="center" wrapText="1"/>
    </xf>
    <xf numFmtId="0" fontId="84" fillId="2" borderId="24" xfId="0" applyFont="1" applyFill="1" applyBorder="1" applyAlignment="1">
      <alignment horizontal="center" vertical="center" wrapText="1"/>
    </xf>
    <xf numFmtId="0" fontId="84" fillId="21" borderId="25" xfId="0" applyFont="1" applyFill="1" applyBorder="1" applyAlignment="1">
      <alignment horizontal="center" vertical="center" wrapText="1"/>
    </xf>
    <xf numFmtId="0" fontId="77" fillId="20" borderId="59" xfId="0" applyFont="1" applyFill="1" applyBorder="1" applyAlignment="1">
      <alignment horizontal="left" vertical="center" wrapText="1"/>
    </xf>
    <xf numFmtId="14" fontId="42" fillId="23" borderId="9" xfId="0" applyNumberFormat="1" applyFont="1" applyFill="1" applyBorder="1" applyAlignment="1">
      <alignment horizontal="center" vertical="center" wrapText="1"/>
    </xf>
    <xf numFmtId="14" fontId="42" fillId="25" borderId="9" xfId="0" applyNumberFormat="1" applyFont="1" applyFill="1" applyBorder="1" applyAlignment="1">
      <alignment horizontal="center" vertical="center" wrapText="1"/>
    </xf>
    <xf numFmtId="14" fontId="42" fillId="51" borderId="9" xfId="0" applyNumberFormat="1" applyFont="1" applyFill="1" applyBorder="1" applyAlignment="1">
      <alignment horizontal="center" vertical="center" wrapText="1"/>
    </xf>
    <xf numFmtId="167" fontId="42" fillId="25" borderId="9" xfId="0" applyNumberFormat="1" applyFont="1" applyFill="1" applyBorder="1" applyAlignment="1">
      <alignment horizontal="center" vertical="center" wrapText="1"/>
    </xf>
    <xf numFmtId="14" fontId="42" fillId="23" borderId="60" xfId="0" applyNumberFormat="1" applyFont="1" applyFill="1" applyBorder="1" applyAlignment="1">
      <alignment horizontal="center" vertical="center" wrapText="1"/>
    </xf>
    <xf numFmtId="0" fontId="84" fillId="2" borderId="36" xfId="0" applyFont="1" applyFill="1" applyBorder="1" applyAlignment="1">
      <alignment horizontal="center" vertical="center" wrapText="1"/>
    </xf>
    <xf numFmtId="0" fontId="84" fillId="21" borderId="37" xfId="0" applyFont="1" applyFill="1" applyBorder="1" applyAlignment="1">
      <alignment horizontal="center" vertical="center" wrapText="1"/>
    </xf>
    <xf numFmtId="0" fontId="77" fillId="29" borderId="59" xfId="0" applyFont="1" applyFill="1" applyBorder="1" applyAlignment="1">
      <alignment horizontal="left" vertical="center" wrapText="1"/>
    </xf>
    <xf numFmtId="14" fontId="42" fillId="21" borderId="9" xfId="0" applyNumberFormat="1" applyFont="1" applyFill="1" applyBorder="1" applyAlignment="1">
      <alignment horizontal="center" vertical="center" wrapText="1"/>
    </xf>
    <xf numFmtId="14" fontId="42" fillId="21" borderId="60" xfId="0" applyNumberFormat="1" applyFont="1" applyFill="1" applyBorder="1" applyAlignment="1">
      <alignment horizontal="center" vertical="center" wrapText="1"/>
    </xf>
    <xf numFmtId="0" fontId="84" fillId="2" borderId="1" xfId="0" applyFont="1" applyFill="1" applyBorder="1" applyAlignment="1">
      <alignment horizontal="center" vertical="center" wrapText="1"/>
    </xf>
    <xf numFmtId="0" fontId="77" fillId="0" borderId="59" xfId="0" applyFont="1" applyBorder="1" applyAlignment="1">
      <alignment horizontal="left" vertical="center" wrapText="1"/>
    </xf>
    <xf numFmtId="0" fontId="42" fillId="2" borderId="1" xfId="0" applyFont="1" applyFill="1" applyBorder="1" applyAlignment="1">
      <alignment horizontal="center" vertical="center" wrapText="1"/>
    </xf>
    <xf numFmtId="0" fontId="77" fillId="0" borderId="0" xfId="0" applyFont="1" applyAlignment="1">
      <alignment horizontal="left" vertical="center" wrapText="1"/>
    </xf>
    <xf numFmtId="0" fontId="42" fillId="0" borderId="0" xfId="0" applyFont="1" applyAlignment="1">
      <alignment horizontal="center" vertical="center" wrapText="1"/>
    </xf>
    <xf numFmtId="0" fontId="42" fillId="50" borderId="1" xfId="0" applyFont="1" applyFill="1" applyBorder="1" applyAlignment="1">
      <alignment horizontal="center" vertical="center" wrapText="1"/>
    </xf>
    <xf numFmtId="0" fontId="42" fillId="17" borderId="1" xfId="0" applyFont="1" applyFill="1" applyBorder="1" applyAlignment="1">
      <alignment horizontal="center" vertical="center" wrapText="1"/>
    </xf>
    <xf numFmtId="0" fontId="77" fillId="55" borderId="4" xfId="0" applyFont="1" applyFill="1" applyBorder="1" applyAlignment="1">
      <alignment horizontal="left" vertical="center" wrapText="1"/>
    </xf>
    <xf numFmtId="14" fontId="42" fillId="56" borderId="4" xfId="0" applyNumberFormat="1" applyFont="1" applyFill="1" applyBorder="1" applyAlignment="1">
      <alignment horizontal="center" vertical="center" wrapText="1"/>
    </xf>
    <xf numFmtId="14" fontId="42" fillId="57" borderId="7" xfId="0" applyNumberFormat="1" applyFont="1" applyFill="1" applyBorder="1" applyAlignment="1">
      <alignment horizontal="center" vertical="center" wrapText="1"/>
    </xf>
    <xf numFmtId="14" fontId="42" fillId="58" borderId="20" xfId="0" applyNumberFormat="1" applyFont="1" applyFill="1" applyBorder="1" applyAlignment="1">
      <alignment horizontal="center" vertical="center" wrapText="1"/>
    </xf>
    <xf numFmtId="14" fontId="42" fillId="58" borderId="4" xfId="0" applyNumberFormat="1" applyFont="1" applyFill="1" applyBorder="1" applyAlignment="1">
      <alignment horizontal="center" vertical="center" wrapText="1"/>
    </xf>
    <xf numFmtId="0" fontId="42" fillId="56" borderId="0" xfId="0" applyFont="1" applyFill="1" applyAlignment="1">
      <alignment wrapText="1"/>
    </xf>
    <xf numFmtId="0" fontId="61" fillId="3" borderId="1" xfId="0" applyFont="1" applyFill="1" applyBorder="1" applyAlignment="1">
      <alignment horizontal="center" vertical="center"/>
    </xf>
    <xf numFmtId="0" fontId="75" fillId="3" borderId="1" xfId="0" applyFont="1" applyFill="1" applyBorder="1" applyAlignment="1">
      <alignment horizontal="center" vertical="center"/>
    </xf>
    <xf numFmtId="49" fontId="21" fillId="3" borderId="1" xfId="0" applyNumberFormat="1" applyFont="1" applyFill="1" applyBorder="1" applyAlignment="1">
      <alignment horizontal="center" vertical="center"/>
    </xf>
    <xf numFmtId="0" fontId="21" fillId="3" borderId="1" xfId="0" applyFont="1" applyFill="1" applyBorder="1" applyAlignment="1">
      <alignment horizontal="center" vertical="center"/>
    </xf>
    <xf numFmtId="49" fontId="87" fillId="0" borderId="0" xfId="0" applyNumberFormat="1" applyFont="1" applyAlignment="1">
      <alignment horizontal="center" vertical="center"/>
    </xf>
    <xf numFmtId="0" fontId="66" fillId="44" borderId="1" xfId="1" applyFont="1" applyFill="1" applyBorder="1" applyAlignment="1">
      <alignment horizontal="left" vertical="center"/>
    </xf>
    <xf numFmtId="0" fontId="6" fillId="44" borderId="1" xfId="2" applyFill="1" applyBorder="1" applyAlignment="1">
      <alignment horizontal="left" vertical="center"/>
    </xf>
    <xf numFmtId="0" fontId="16" fillId="44" borderId="1" xfId="0" applyFont="1" applyFill="1" applyBorder="1" applyAlignment="1">
      <alignment horizontal="left" vertical="center"/>
    </xf>
    <xf numFmtId="0" fontId="6" fillId="0" borderId="2" xfId="1" applyBorder="1" applyAlignment="1">
      <alignment vertical="center"/>
    </xf>
    <xf numFmtId="0" fontId="0" fillId="0" borderId="2" xfId="0" applyBorder="1" applyAlignment="1">
      <alignment vertical="center"/>
    </xf>
    <xf numFmtId="0" fontId="6" fillId="0" borderId="1" xfId="1" applyBorder="1" applyAlignment="1">
      <alignment horizontal="left" vertical="center"/>
    </xf>
    <xf numFmtId="0" fontId="66" fillId="0" borderId="1" xfId="2" applyFont="1" applyBorder="1" applyAlignment="1">
      <alignment horizontal="left" vertical="center" wrapText="1"/>
    </xf>
    <xf numFmtId="0" fontId="6" fillId="0" borderId="1" xfId="1" applyBorder="1" applyAlignment="1">
      <alignment vertical="center" wrapText="1"/>
    </xf>
    <xf numFmtId="49" fontId="35" fillId="2" borderId="1" xfId="0" applyNumberFormat="1" applyFont="1" applyFill="1" applyBorder="1" applyAlignment="1">
      <alignment horizontal="center" vertical="center"/>
    </xf>
    <xf numFmtId="0" fontId="88" fillId="47" borderId="1" xfId="0" applyFont="1" applyFill="1" applyBorder="1"/>
    <xf numFmtId="0" fontId="88" fillId="0" borderId="1" xfId="0" applyFont="1" applyBorder="1"/>
    <xf numFmtId="0" fontId="88" fillId="29" borderId="1" xfId="0" applyFont="1" applyFill="1" applyBorder="1"/>
    <xf numFmtId="0" fontId="6" fillId="0" borderId="1" xfId="1" applyBorder="1" applyAlignment="1">
      <alignment vertical="center"/>
    </xf>
    <xf numFmtId="0" fontId="63" fillId="50" borderId="1" xfId="0" applyFont="1" applyFill="1" applyBorder="1" applyAlignment="1">
      <alignment horizontal="left" vertical="center"/>
    </xf>
    <xf numFmtId="0" fontId="91" fillId="50" borderId="1" xfId="0" applyFont="1" applyFill="1" applyBorder="1" applyAlignment="1">
      <alignment horizontal="center" vertical="center"/>
    </xf>
    <xf numFmtId="49" fontId="54" fillId="50" borderId="1" xfId="0" applyNumberFormat="1" applyFont="1" applyFill="1" applyBorder="1" applyAlignment="1">
      <alignment horizontal="center" vertical="center"/>
    </xf>
    <xf numFmtId="0" fontId="52" fillId="50" borderId="1" xfId="0" applyFont="1" applyFill="1" applyBorder="1" applyAlignment="1">
      <alignment horizontal="center" vertical="center"/>
    </xf>
    <xf numFmtId="0" fontId="51" fillId="50" borderId="1" xfId="0" applyFont="1" applyFill="1" applyBorder="1" applyAlignment="1">
      <alignment horizontal="center" vertical="center"/>
    </xf>
    <xf numFmtId="0" fontId="64" fillId="50" borderId="1" xfId="0" applyFont="1" applyFill="1" applyBorder="1" applyAlignment="1">
      <alignment horizontal="center" vertical="center"/>
    </xf>
    <xf numFmtId="49" fontId="54" fillId="0" borderId="0" xfId="0" applyNumberFormat="1" applyFont="1" applyAlignment="1">
      <alignment horizontal="center" vertical="center"/>
    </xf>
    <xf numFmtId="0" fontId="52" fillId="0" borderId="0" xfId="0" applyFont="1" applyAlignment="1">
      <alignment horizontal="center" vertical="center"/>
    </xf>
    <xf numFmtId="0" fontId="83" fillId="50" borderId="1" xfId="0" applyFont="1" applyFill="1" applyBorder="1" applyAlignment="1">
      <alignment horizontal="center" vertical="center"/>
    </xf>
    <xf numFmtId="0" fontId="63" fillId="0" borderId="0" xfId="0" applyFont="1" applyAlignment="1">
      <alignment horizontal="left" vertical="center"/>
    </xf>
    <xf numFmtId="49" fontId="82" fillId="50" borderId="1" xfId="0" applyNumberFormat="1" applyFont="1" applyFill="1" applyBorder="1" applyAlignment="1">
      <alignment horizontal="center" vertical="center"/>
    </xf>
    <xf numFmtId="0" fontId="90" fillId="50" borderId="1" xfId="0" applyFont="1" applyFill="1" applyBorder="1" applyAlignment="1">
      <alignment horizontal="left" vertical="center"/>
    </xf>
    <xf numFmtId="49" fontId="53" fillId="50" borderId="1" xfId="3" applyNumberFormat="1" applyFont="1" applyFill="1" applyBorder="1" applyAlignment="1">
      <alignment horizontal="center" vertical="center"/>
    </xf>
    <xf numFmtId="0" fontId="23" fillId="50" borderId="1" xfId="0" applyFont="1" applyFill="1" applyBorder="1" applyAlignment="1">
      <alignment horizontal="center" vertical="center"/>
    </xf>
    <xf numFmtId="49" fontId="54" fillId="50" borderId="1" xfId="3" applyNumberFormat="1" applyFont="1" applyFill="1" applyBorder="1" applyAlignment="1">
      <alignment horizontal="center" vertical="center"/>
    </xf>
    <xf numFmtId="49" fontId="53" fillId="50" borderId="0" xfId="0" applyNumberFormat="1" applyFont="1" applyFill="1" applyAlignment="1">
      <alignment horizontal="center" vertical="center"/>
    </xf>
    <xf numFmtId="0" fontId="64" fillId="50" borderId="1" xfId="0" applyFont="1" applyFill="1" applyBorder="1" applyAlignment="1">
      <alignment horizontal="center" vertical="center" wrapText="1"/>
    </xf>
    <xf numFmtId="0" fontId="90" fillId="50" borderId="2" xfId="0" applyFont="1" applyFill="1" applyBorder="1" applyAlignment="1">
      <alignment horizontal="left" vertical="center"/>
    </xf>
    <xf numFmtId="0" fontId="64" fillId="0" borderId="0" xfId="0" applyFont="1" applyAlignment="1">
      <alignment horizontal="center" vertical="center"/>
    </xf>
    <xf numFmtId="49" fontId="93" fillId="0" borderId="0" xfId="3" applyNumberFormat="1" applyFont="1" applyFill="1" applyBorder="1" applyAlignment="1">
      <alignment horizontal="center" vertical="center"/>
    </xf>
    <xf numFmtId="0" fontId="92" fillId="0" borderId="0" xfId="0" applyFont="1" applyAlignment="1">
      <alignment horizontal="center" vertical="center"/>
    </xf>
    <xf numFmtId="0" fontId="65" fillId="14" borderId="1" xfId="0" applyFont="1" applyFill="1" applyBorder="1" applyAlignment="1">
      <alignment horizontal="center" vertical="center"/>
    </xf>
    <xf numFmtId="0" fontId="0" fillId="0" borderId="14" xfId="0" applyBorder="1" applyAlignment="1">
      <alignment vertical="center"/>
    </xf>
    <xf numFmtId="0" fontId="95" fillId="14" borderId="1" xfId="0" applyFont="1" applyFill="1" applyBorder="1" applyAlignment="1">
      <alignment horizontal="center" vertical="center"/>
    </xf>
    <xf numFmtId="16" fontId="21" fillId="0" borderId="1" xfId="0" applyNumberFormat="1"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65" fillId="14" borderId="54" xfId="0" applyFont="1" applyFill="1" applyBorder="1" applyAlignment="1">
      <alignment horizontal="left" vertical="center"/>
    </xf>
    <xf numFmtId="0" fontId="65" fillId="14" borderId="3" xfId="0" applyFont="1" applyFill="1" applyBorder="1" applyAlignment="1">
      <alignment horizontal="left" vertical="center"/>
    </xf>
    <xf numFmtId="0" fontId="65" fillId="14" borderId="21" xfId="0" applyFont="1" applyFill="1" applyBorder="1" applyAlignment="1">
      <alignment horizontal="left" vertical="center"/>
    </xf>
    <xf numFmtId="0" fontId="23" fillId="0" borderId="19" xfId="0" applyFont="1" applyBorder="1" applyAlignment="1">
      <alignment horizontal="left" vertical="center"/>
    </xf>
    <xf numFmtId="0" fontId="23" fillId="0" borderId="20" xfId="0" applyFont="1" applyBorder="1" applyAlignment="1">
      <alignment horizontal="left" vertical="center"/>
    </xf>
    <xf numFmtId="0" fontId="23" fillId="44" borderId="19" xfId="0" applyFont="1" applyFill="1" applyBorder="1" applyAlignment="1">
      <alignment horizontal="left" vertical="center"/>
    </xf>
    <xf numFmtId="0" fontId="23" fillId="44" borderId="20" xfId="0" applyFont="1" applyFill="1" applyBorder="1" applyAlignment="1">
      <alignment horizontal="left" vertical="center"/>
    </xf>
    <xf numFmtId="0" fontId="23" fillId="29" borderId="20" xfId="0" applyFont="1" applyFill="1" applyBorder="1" applyAlignment="1">
      <alignment horizontal="left" vertical="center"/>
    </xf>
    <xf numFmtId="0" fontId="67" fillId="0" borderId="19" xfId="0" applyFont="1" applyBorder="1" applyAlignment="1">
      <alignment horizontal="left" vertical="center"/>
    </xf>
    <xf numFmtId="0" fontId="16" fillId="0" borderId="20" xfId="0" applyFont="1" applyBorder="1" applyAlignment="1">
      <alignment horizontal="left" vertical="center"/>
    </xf>
    <xf numFmtId="0" fontId="0" fillId="0" borderId="20" xfId="0" applyBorder="1" applyAlignment="1">
      <alignment vertical="center"/>
    </xf>
    <xf numFmtId="0" fontId="23" fillId="0" borderId="19" xfId="0" applyFont="1" applyBorder="1" applyAlignment="1">
      <alignment horizontal="left" vertical="center" wrapText="1"/>
    </xf>
    <xf numFmtId="0" fontId="23" fillId="0" borderId="15" xfId="0" applyFont="1" applyBorder="1" applyAlignment="1">
      <alignment horizontal="left" vertical="center"/>
    </xf>
    <xf numFmtId="14" fontId="12" fillId="0" borderId="1" xfId="0" applyNumberFormat="1" applyFont="1" applyBorder="1" applyAlignment="1">
      <alignment horizontal="center" vertical="center"/>
    </xf>
    <xf numFmtId="14" fontId="0" fillId="0" borderId="1" xfId="0" applyNumberFormat="1" applyBorder="1" applyAlignment="1">
      <alignment horizontal="center" vertical="center"/>
    </xf>
    <xf numFmtId="0" fontId="0" fillId="21" borderId="63" xfId="0" applyFill="1" applyBorder="1" applyAlignment="1">
      <alignment horizontal="center" vertical="center"/>
    </xf>
    <xf numFmtId="0" fontId="0" fillId="21" borderId="62" xfId="0" applyFill="1" applyBorder="1" applyAlignment="1">
      <alignment horizontal="center" vertical="center" wrapText="1"/>
    </xf>
    <xf numFmtId="0" fontId="13" fillId="21" borderId="64" xfId="0" applyFont="1" applyFill="1" applyBorder="1" applyAlignment="1">
      <alignment horizontal="center" vertical="center"/>
    </xf>
    <xf numFmtId="0" fontId="13" fillId="21" borderId="63" xfId="0" applyFont="1" applyFill="1" applyBorder="1" applyAlignment="1">
      <alignment horizontal="center" vertical="center" wrapText="1"/>
    </xf>
    <xf numFmtId="0" fontId="13" fillId="21" borderId="63" xfId="0" applyFont="1" applyFill="1" applyBorder="1" applyAlignment="1">
      <alignment horizontal="center" vertical="center"/>
    </xf>
    <xf numFmtId="0" fontId="13" fillId="21" borderId="62" xfId="0" applyFont="1" applyFill="1" applyBorder="1" applyAlignment="1">
      <alignment horizontal="center" vertical="center"/>
    </xf>
    <xf numFmtId="0" fontId="13" fillId="21" borderId="19" xfId="0" applyFont="1" applyFill="1" applyBorder="1" applyAlignment="1">
      <alignment horizontal="center" vertical="center" wrapText="1"/>
    </xf>
    <xf numFmtId="0" fontId="0" fillId="21" borderId="19" xfId="0" applyFill="1" applyBorder="1" applyAlignment="1">
      <alignment horizontal="center" vertical="center"/>
    </xf>
    <xf numFmtId="0" fontId="13" fillId="0" borderId="0" xfId="0" applyFont="1" applyAlignment="1">
      <alignment horizontal="center" vertical="center"/>
    </xf>
    <xf numFmtId="0" fontId="12" fillId="0" borderId="1" xfId="0" applyFont="1" applyBorder="1" applyAlignment="1">
      <alignment horizontal="center" vertical="center"/>
    </xf>
    <xf numFmtId="0" fontId="0" fillId="21" borderId="64" xfId="0" applyFill="1" applyBorder="1" applyAlignment="1">
      <alignment horizontal="center" vertical="center"/>
    </xf>
    <xf numFmtId="164" fontId="11" fillId="27" borderId="1" xfId="0" applyNumberFormat="1" applyFont="1" applyFill="1" applyBorder="1" applyAlignment="1">
      <alignment horizontal="center" vertical="center" wrapText="1"/>
    </xf>
    <xf numFmtId="0" fontId="12" fillId="16" borderId="1" xfId="0" applyFont="1" applyFill="1" applyBorder="1" applyAlignment="1">
      <alignment horizontal="left" vertical="center"/>
    </xf>
    <xf numFmtId="14" fontId="12" fillId="16" borderId="1" xfId="0" applyNumberFormat="1" applyFont="1" applyFill="1" applyBorder="1" applyAlignment="1">
      <alignment horizontal="center" vertical="center"/>
    </xf>
    <xf numFmtId="0" fontId="12" fillId="16" borderId="1" xfId="0" applyFont="1" applyFill="1" applyBorder="1" applyAlignment="1">
      <alignment horizontal="center" vertical="center"/>
    </xf>
    <xf numFmtId="0" fontId="0" fillId="39" borderId="1" xfId="0" applyFill="1" applyBorder="1" applyAlignment="1">
      <alignment horizontal="left" vertical="center"/>
    </xf>
    <xf numFmtId="0" fontId="0" fillId="65" borderId="1" xfId="0" applyFill="1" applyBorder="1" applyAlignment="1">
      <alignment horizontal="left" vertical="center"/>
    </xf>
    <xf numFmtId="167" fontId="0" fillId="39" borderId="1" xfId="0" applyNumberFormat="1" applyFill="1" applyBorder="1" applyAlignment="1">
      <alignment horizontal="left" vertical="center"/>
    </xf>
    <xf numFmtId="0" fontId="0" fillId="44" borderId="1" xfId="0" applyFill="1" applyBorder="1" applyAlignment="1">
      <alignment horizontal="left" vertical="center"/>
    </xf>
    <xf numFmtId="167" fontId="0" fillId="16" borderId="1" xfId="0" applyNumberFormat="1" applyFill="1" applyBorder="1" applyAlignment="1">
      <alignment horizontal="center" vertical="center"/>
    </xf>
    <xf numFmtId="0" fontId="38" fillId="16" borderId="1" xfId="0" applyFont="1" applyFill="1" applyBorder="1" applyAlignment="1">
      <alignment horizontal="left" vertical="center"/>
    </xf>
    <xf numFmtId="0" fontId="38" fillId="16" borderId="1" xfId="0" applyFont="1" applyFill="1" applyBorder="1" applyAlignment="1">
      <alignment horizontal="center" vertical="center"/>
    </xf>
    <xf numFmtId="0" fontId="0" fillId="16" borderId="1" xfId="0" applyFill="1" applyBorder="1" applyAlignment="1">
      <alignment horizontal="left" vertical="center"/>
    </xf>
    <xf numFmtId="0" fontId="0" fillId="29" borderId="1" xfId="0" applyFill="1" applyBorder="1" applyAlignment="1">
      <alignment horizontal="left" vertical="center"/>
    </xf>
    <xf numFmtId="167" fontId="0" fillId="16" borderId="1" xfId="0" applyNumberFormat="1" applyFill="1" applyBorder="1" applyAlignment="1">
      <alignment horizontal="left" vertical="center"/>
    </xf>
    <xf numFmtId="0" fontId="12" fillId="0" borderId="1" xfId="0" applyFont="1" applyBorder="1" applyAlignment="1">
      <alignment horizontal="left" vertical="center"/>
    </xf>
    <xf numFmtId="0" fontId="6" fillId="29" borderId="1" xfId="1" applyFill="1" applyBorder="1" applyAlignment="1">
      <alignment horizontal="left" vertical="center"/>
    </xf>
    <xf numFmtId="167" fontId="0" fillId="0" borderId="1" xfId="0" applyNumberFormat="1" applyBorder="1" applyAlignment="1">
      <alignment horizontal="left" vertical="center"/>
    </xf>
    <xf numFmtId="167" fontId="0" fillId="0" borderId="1" xfId="0" applyNumberFormat="1" applyBorder="1" applyAlignment="1">
      <alignment horizontal="center" vertical="center"/>
    </xf>
    <xf numFmtId="14" fontId="43" fillId="0" borderId="1" xfId="0" applyNumberFormat="1" applyFont="1" applyBorder="1" applyAlignment="1">
      <alignment horizontal="center" vertical="center"/>
    </xf>
    <xf numFmtId="165" fontId="0" fillId="0" borderId="1" xfId="0" applyNumberFormat="1" applyBorder="1" applyAlignment="1">
      <alignment horizontal="left" vertical="center"/>
    </xf>
    <xf numFmtId="0" fontId="13" fillId="29" borderId="1" xfId="0" applyFont="1" applyFill="1" applyBorder="1" applyAlignment="1">
      <alignment horizontal="center" vertical="center" wrapText="1"/>
    </xf>
    <xf numFmtId="0" fontId="38" fillId="0" borderId="1" xfId="0" applyFont="1" applyBorder="1" applyAlignment="1">
      <alignment horizontal="left" vertical="center"/>
    </xf>
    <xf numFmtId="166" fontId="0" fillId="0" borderId="1" xfId="0" applyNumberFormat="1" applyBorder="1" applyAlignment="1">
      <alignment horizontal="center" vertical="center"/>
    </xf>
    <xf numFmtId="0" fontId="0" fillId="29" borderId="1" xfId="0" applyFill="1" applyBorder="1" applyAlignment="1">
      <alignment vertical="center"/>
    </xf>
    <xf numFmtId="165" fontId="0" fillId="0" borderId="1" xfId="0" applyNumberFormat="1" applyBorder="1" applyAlignment="1">
      <alignment horizontal="left" vertical="center" wrapText="1"/>
    </xf>
    <xf numFmtId="0" fontId="13" fillId="29" borderId="1" xfId="0" applyFont="1" applyFill="1" applyBorder="1" applyAlignment="1">
      <alignment horizontal="center" vertical="center"/>
    </xf>
    <xf numFmtId="165" fontId="0" fillId="0" borderId="1" xfId="0" applyNumberFormat="1" applyBorder="1" applyAlignment="1">
      <alignment vertical="center"/>
    </xf>
    <xf numFmtId="0" fontId="41" fillId="15" borderId="1" xfId="0" applyFont="1" applyFill="1" applyBorder="1" applyAlignment="1">
      <alignment horizontal="left" vertical="center"/>
    </xf>
    <xf numFmtId="0" fontId="42" fillId="15" borderId="1" xfId="0" applyFont="1" applyFill="1" applyBorder="1" applyAlignment="1">
      <alignment vertical="center"/>
    </xf>
    <xf numFmtId="14" fontId="41" fillId="15" borderId="1" xfId="0" applyNumberFormat="1" applyFont="1" applyFill="1" applyBorder="1" applyAlignment="1">
      <alignment horizontal="center" vertical="center"/>
    </xf>
    <xf numFmtId="0" fontId="41" fillId="15" borderId="1" xfId="0" applyFont="1" applyFill="1" applyBorder="1" applyAlignment="1">
      <alignment horizontal="center" vertical="center"/>
    </xf>
    <xf numFmtId="0" fontId="31" fillId="15" borderId="1" xfId="0" applyFont="1" applyFill="1" applyBorder="1" applyAlignment="1">
      <alignment horizontal="center" vertical="center"/>
    </xf>
    <xf numFmtId="0" fontId="42" fillId="15" borderId="1" xfId="0" applyFont="1" applyFill="1" applyBorder="1" applyAlignment="1">
      <alignment horizontal="left" vertical="center"/>
    </xf>
    <xf numFmtId="167" fontId="42" fillId="15" borderId="1" xfId="0" applyNumberFormat="1" applyFont="1" applyFill="1" applyBorder="1" applyAlignment="1">
      <alignment horizontal="left" vertical="center"/>
    </xf>
    <xf numFmtId="167" fontId="42" fillId="15" borderId="1" xfId="0" applyNumberFormat="1" applyFont="1" applyFill="1" applyBorder="1" applyAlignment="1">
      <alignment horizontal="center" vertical="center"/>
    </xf>
    <xf numFmtId="14" fontId="38" fillId="0" borderId="1" xfId="0" applyNumberFormat="1" applyFont="1" applyBorder="1" applyAlignment="1">
      <alignment horizontal="center" vertical="center"/>
    </xf>
    <xf numFmtId="0" fontId="43" fillId="0" borderId="1" xfId="0" applyFont="1" applyBorder="1" applyAlignment="1">
      <alignment horizontal="center" vertical="center"/>
    </xf>
    <xf numFmtId="165" fontId="6" fillId="29" borderId="1" xfId="1" applyNumberFormat="1" applyFill="1" applyBorder="1" applyAlignment="1">
      <alignment horizontal="left" vertical="center"/>
    </xf>
    <xf numFmtId="0" fontId="38" fillId="0" borderId="1" xfId="0" applyFont="1" applyBorder="1" applyAlignment="1">
      <alignment vertical="center"/>
    </xf>
    <xf numFmtId="14" fontId="36" fillId="0" borderId="1" xfId="0" applyNumberFormat="1" applyFont="1" applyBorder="1" applyAlignment="1">
      <alignment horizontal="center" vertical="center"/>
    </xf>
    <xf numFmtId="14" fontId="43" fillId="0" borderId="1" xfId="0" applyNumberFormat="1" applyFont="1" applyBorder="1" applyAlignment="1">
      <alignment horizontal="center" vertical="center" wrapText="1"/>
    </xf>
    <xf numFmtId="0" fontId="18" fillId="47" borderId="1" xfId="0" applyFont="1" applyFill="1" applyBorder="1"/>
    <xf numFmtId="0" fontId="63" fillId="50" borderId="2" xfId="0" applyFont="1" applyFill="1" applyBorder="1" applyAlignment="1">
      <alignment horizontal="left" vertical="center"/>
    </xf>
    <xf numFmtId="0" fontId="96" fillId="50" borderId="2" xfId="0" applyFont="1" applyFill="1" applyBorder="1" applyAlignment="1">
      <alignment horizontal="center" vertical="center"/>
    </xf>
    <xf numFmtId="49" fontId="97" fillId="50" borderId="2" xfId="0" applyNumberFormat="1" applyFont="1" applyFill="1" applyBorder="1" applyAlignment="1">
      <alignment horizontal="center" vertical="center"/>
    </xf>
    <xf numFmtId="0" fontId="99" fillId="0" borderId="19" xfId="0" applyFont="1" applyBorder="1" applyAlignment="1">
      <alignment horizontal="left" vertical="center"/>
    </xf>
    <xf numFmtId="0" fontId="91" fillId="50" borderId="1" xfId="0" applyFont="1" applyFill="1" applyBorder="1" applyAlignment="1">
      <alignment horizontal="center" vertical="center" wrapText="1"/>
    </xf>
    <xf numFmtId="0" fontId="97" fillId="50" borderId="0" xfId="0" applyFont="1" applyFill="1" applyAlignment="1">
      <alignment horizontal="center" vertical="center"/>
    </xf>
    <xf numFmtId="0" fontId="9" fillId="14" borderId="1" xfId="0" applyFont="1" applyFill="1" applyBorder="1" applyAlignment="1">
      <alignment horizontal="center"/>
    </xf>
    <xf numFmtId="0" fontId="100" fillId="0" borderId="1" xfId="0" applyFont="1" applyBorder="1" applyAlignment="1">
      <alignment horizontal="center" vertical="center"/>
    </xf>
    <xf numFmtId="0" fontId="64" fillId="50" borderId="14" xfId="0" applyFont="1" applyFill="1" applyBorder="1" applyAlignment="1">
      <alignment horizontal="center" vertical="center"/>
    </xf>
    <xf numFmtId="49" fontId="82" fillId="50" borderId="1" xfId="3" applyNumberFormat="1" applyFont="1" applyFill="1" applyBorder="1" applyAlignment="1">
      <alignment horizontal="center" vertical="center"/>
    </xf>
    <xf numFmtId="0" fontId="64" fillId="50" borderId="20" xfId="0" applyFont="1" applyFill="1" applyBorder="1" applyAlignment="1">
      <alignment horizontal="center" vertical="center" wrapText="1"/>
    </xf>
    <xf numFmtId="0" fontId="52" fillId="50" borderId="15" xfId="0" applyFont="1" applyFill="1" applyBorder="1" applyAlignment="1">
      <alignment horizontal="center" vertical="center"/>
    </xf>
    <xf numFmtId="0" fontId="96" fillId="50" borderId="15" xfId="0" applyFont="1" applyFill="1" applyBorder="1" applyAlignment="1">
      <alignment horizontal="center" vertical="center"/>
    </xf>
    <xf numFmtId="49" fontId="82" fillId="50" borderId="3" xfId="3" applyNumberFormat="1" applyFont="1" applyFill="1" applyBorder="1" applyAlignment="1">
      <alignment horizontal="center" vertical="center"/>
    </xf>
    <xf numFmtId="0" fontId="101" fillId="50" borderId="1" xfId="0" applyFont="1" applyFill="1" applyBorder="1" applyAlignment="1">
      <alignment horizontal="center" vertical="center"/>
    </xf>
    <xf numFmtId="0" fontId="98" fillId="0" borderId="0" xfId="0" applyFont="1" applyAlignment="1">
      <alignment horizontal="center" vertical="center"/>
    </xf>
    <xf numFmtId="0" fontId="96" fillId="0" borderId="0" xfId="0" applyFont="1" applyAlignment="1">
      <alignment vertical="center"/>
    </xf>
    <xf numFmtId="0" fontId="0" fillId="50" borderId="1" xfId="0" applyFill="1" applyBorder="1" applyAlignment="1">
      <alignment horizontal="center" vertical="center"/>
    </xf>
    <xf numFmtId="0" fontId="95" fillId="14" borderId="20" xfId="0" applyFont="1" applyFill="1" applyBorder="1" applyAlignment="1">
      <alignment horizontal="center" vertical="center"/>
    </xf>
    <xf numFmtId="0" fontId="102" fillId="29" borderId="1" xfId="0" applyFont="1" applyFill="1" applyBorder="1" applyAlignment="1">
      <alignment vertical="center"/>
    </xf>
    <xf numFmtId="0" fontId="42" fillId="0" borderId="0" xfId="0" applyFont="1"/>
    <xf numFmtId="0" fontId="103" fillId="29" borderId="1" xfId="0" applyFont="1" applyFill="1" applyBorder="1" applyAlignment="1">
      <alignment vertical="center"/>
    </xf>
    <xf numFmtId="17" fontId="59" fillId="66" borderId="1" xfId="0" applyNumberFormat="1" applyFont="1" applyFill="1" applyBorder="1" applyAlignment="1">
      <alignment horizontal="center"/>
    </xf>
    <xf numFmtId="0" fontId="102" fillId="66" borderId="1" xfId="0" applyFont="1" applyFill="1" applyBorder="1" applyAlignment="1">
      <alignment vertical="center"/>
    </xf>
    <xf numFmtId="16" fontId="0" fillId="0" borderId="1" xfId="0" applyNumberFormat="1" applyBorder="1"/>
    <xf numFmtId="0" fontId="1" fillId="0" borderId="1" xfId="0" applyFont="1" applyBorder="1"/>
    <xf numFmtId="16" fontId="1" fillId="0" borderId="1" xfId="0" applyNumberFormat="1" applyFont="1" applyBorder="1" applyAlignment="1">
      <alignment horizontal="left"/>
    </xf>
    <xf numFmtId="16" fontId="1" fillId="0" borderId="1" xfId="0" applyNumberFormat="1" applyFont="1" applyBorder="1" applyAlignment="1">
      <alignment wrapText="1"/>
    </xf>
    <xf numFmtId="0" fontId="1" fillId="0" borderId="1" xfId="0" applyFont="1" applyBorder="1" applyAlignment="1">
      <alignment vertical="center"/>
    </xf>
    <xf numFmtId="0" fontId="1" fillId="0" borderId="1" xfId="0" applyFont="1" applyBorder="1" applyAlignment="1">
      <alignment wrapText="1"/>
    </xf>
    <xf numFmtId="16" fontId="1" fillId="0" borderId="1" xfId="0" applyNumberFormat="1" applyFont="1" applyBorder="1"/>
    <xf numFmtId="0" fontId="103" fillId="29" borderId="1" xfId="0" applyFont="1" applyFill="1" applyBorder="1" applyAlignment="1">
      <alignment horizontal="left" vertical="center"/>
    </xf>
    <xf numFmtId="0" fontId="102" fillId="29" borderId="2" xfId="0" applyFont="1" applyFill="1" applyBorder="1" applyAlignment="1">
      <alignment horizontal="left" vertical="center"/>
    </xf>
    <xf numFmtId="0" fontId="102" fillId="29" borderId="38" xfId="0" applyFont="1" applyFill="1" applyBorder="1" applyAlignment="1">
      <alignment horizontal="left" vertical="center"/>
    </xf>
    <xf numFmtId="0" fontId="102" fillId="29" borderId="3" xfId="0" applyFont="1" applyFill="1" applyBorder="1" applyAlignment="1">
      <alignment horizontal="left" vertical="center"/>
    </xf>
    <xf numFmtId="0" fontId="28" fillId="37" borderId="1" xfId="0" applyFont="1" applyFill="1" applyBorder="1" applyAlignment="1">
      <alignment horizontal="center" vertical="center"/>
    </xf>
    <xf numFmtId="0" fontId="21" fillId="0" borderId="0" xfId="0" applyFont="1" applyAlignment="1">
      <alignment horizontal="center" wrapText="1"/>
    </xf>
    <xf numFmtId="0" fontId="0" fillId="0" borderId="0" xfId="0" applyAlignment="1">
      <alignment horizontal="center" vertical="center"/>
    </xf>
    <xf numFmtId="0" fontId="0" fillId="0" borderId="1" xfId="0" applyBorder="1" applyAlignment="1">
      <alignment horizontal="center" vertical="center"/>
    </xf>
    <xf numFmtId="0" fontId="59" fillId="66" borderId="1" xfId="0" applyFont="1" applyFill="1" applyBorder="1" applyAlignment="1">
      <alignment horizontal="center"/>
    </xf>
    <xf numFmtId="0" fontId="102" fillId="29" borderId="1" xfId="0" applyFont="1" applyFill="1" applyBorder="1" applyAlignment="1">
      <alignment horizontal="left" vertical="center"/>
    </xf>
    <xf numFmtId="0" fontId="1" fillId="0" borderId="1" xfId="0" applyFont="1" applyBorder="1" applyAlignment="1">
      <alignment horizontal="center" vertical="center"/>
    </xf>
    <xf numFmtId="0" fontId="0" fillId="0" borderId="1" xfId="0" applyBorder="1" applyAlignment="1">
      <alignment horizontal="left" vertical="center"/>
    </xf>
    <xf numFmtId="0" fontId="65" fillId="14" borderId="1" xfId="0" applyFont="1" applyFill="1" applyBorder="1" applyAlignment="1">
      <alignment horizontal="left" vertical="center"/>
    </xf>
    <xf numFmtId="0" fontId="16" fillId="0" borderId="10" xfId="0" applyFont="1" applyBorder="1" applyAlignment="1">
      <alignment horizontal="center" vertical="top" wrapText="1"/>
    </xf>
    <xf numFmtId="0" fontId="80" fillId="0" borderId="10" xfId="0" applyFont="1" applyBorder="1" applyAlignment="1">
      <alignment horizontal="center" vertical="center" wrapText="1"/>
    </xf>
    <xf numFmtId="0" fontId="59" fillId="0" borderId="34" xfId="0" applyFont="1" applyBorder="1" applyAlignment="1">
      <alignment horizontal="center"/>
    </xf>
    <xf numFmtId="0" fontId="59" fillId="0" borderId="55" xfId="0" applyFont="1" applyBorder="1" applyAlignment="1">
      <alignment horizontal="center"/>
    </xf>
    <xf numFmtId="14" fontId="33" fillId="41" borderId="20" xfId="0" applyNumberFormat="1" applyFont="1" applyFill="1" applyBorder="1" applyAlignment="1">
      <alignment horizontal="center" vertical="center"/>
    </xf>
    <xf numFmtId="14" fontId="33" fillId="41" borderId="19" xfId="0" applyNumberFormat="1" applyFont="1" applyFill="1" applyBorder="1" applyAlignment="1">
      <alignment horizontal="center" vertical="center"/>
    </xf>
    <xf numFmtId="14" fontId="33" fillId="41" borderId="20" xfId="0" applyNumberFormat="1" applyFont="1" applyFill="1" applyBorder="1" applyAlignment="1">
      <alignment horizontal="center" vertical="center" wrapText="1"/>
    </xf>
    <xf numFmtId="14" fontId="33" fillId="41" borderId="19" xfId="0" applyNumberFormat="1" applyFont="1" applyFill="1" applyBorder="1" applyAlignment="1">
      <alignment horizontal="center" vertical="center" wrapText="1"/>
    </xf>
    <xf numFmtId="14" fontId="33" fillId="42" borderId="20" xfId="0" applyNumberFormat="1" applyFont="1" applyFill="1" applyBorder="1" applyAlignment="1">
      <alignment horizontal="center" vertical="center"/>
    </xf>
    <xf numFmtId="0" fontId="33" fillId="42" borderId="19" xfId="0" applyFont="1" applyFill="1" applyBorder="1" applyAlignment="1">
      <alignment horizontal="center" vertical="center"/>
    </xf>
    <xf numFmtId="0" fontId="33" fillId="42" borderId="20" xfId="0" applyFont="1" applyFill="1" applyBorder="1" applyAlignment="1">
      <alignment horizontal="center"/>
    </xf>
    <xf numFmtId="0" fontId="33" fillId="42" borderId="19" xfId="0" applyFont="1" applyFill="1" applyBorder="1" applyAlignment="1">
      <alignment horizontal="center"/>
    </xf>
    <xf numFmtId="0" fontId="29" fillId="37" borderId="20" xfId="0" applyFont="1" applyFill="1" applyBorder="1" applyAlignment="1">
      <alignment horizontal="center" vertical="center"/>
    </xf>
    <xf numFmtId="0" fontId="29" fillId="37" borderId="19" xfId="0" applyFont="1" applyFill="1" applyBorder="1" applyAlignment="1">
      <alignment horizontal="center" vertical="center"/>
    </xf>
    <xf numFmtId="0" fontId="28" fillId="37" borderId="1" xfId="0" applyFont="1" applyFill="1" applyBorder="1" applyAlignment="1">
      <alignment horizontal="center" vertical="center"/>
    </xf>
    <xf numFmtId="14" fontId="22" fillId="18" borderId="34" xfId="0" applyNumberFormat="1" applyFont="1" applyFill="1" applyBorder="1" applyAlignment="1">
      <alignment horizontal="center" vertical="center"/>
    </xf>
    <xf numFmtId="14" fontId="22" fillId="18" borderId="55" xfId="0" applyNumberFormat="1" applyFont="1" applyFill="1" applyBorder="1" applyAlignment="1">
      <alignment horizontal="center" vertical="center"/>
    </xf>
    <xf numFmtId="0" fontId="21" fillId="0" borderId="10" xfId="0" applyFont="1" applyBorder="1" applyAlignment="1">
      <alignment horizontal="center" vertical="center"/>
    </xf>
    <xf numFmtId="0" fontId="18" fillId="0" borderId="10" xfId="0" applyFont="1" applyBorder="1" applyAlignment="1">
      <alignment horizontal="center"/>
    </xf>
    <xf numFmtId="0" fontId="21" fillId="0" borderId="34" xfId="0" applyFont="1" applyBorder="1" applyAlignment="1">
      <alignment horizontal="center" vertical="center"/>
    </xf>
    <xf numFmtId="0" fontId="21" fillId="0" borderId="55" xfId="0" applyFont="1" applyBorder="1" applyAlignment="1">
      <alignment horizontal="center" vertical="center"/>
    </xf>
    <xf numFmtId="14" fontId="22" fillId="18" borderId="10" xfId="0" applyNumberFormat="1" applyFont="1" applyFill="1" applyBorder="1" applyAlignment="1">
      <alignment horizontal="center" vertical="center"/>
    </xf>
    <xf numFmtId="0" fontId="22" fillId="18" borderId="10" xfId="0" applyFont="1" applyFill="1" applyBorder="1" applyAlignment="1">
      <alignment horizontal="center" vertical="center"/>
    </xf>
    <xf numFmtId="14" fontId="86" fillId="18" borderId="10" xfId="0" applyNumberFormat="1" applyFont="1" applyFill="1" applyBorder="1" applyAlignment="1">
      <alignment horizontal="center" vertical="center"/>
    </xf>
    <xf numFmtId="0" fontId="86" fillId="18" borderId="10" xfId="0" applyFont="1" applyFill="1" applyBorder="1" applyAlignment="1">
      <alignment horizontal="center" vertical="center"/>
    </xf>
    <xf numFmtId="14" fontId="22" fillId="49" borderId="10" xfId="0" applyNumberFormat="1" applyFont="1" applyFill="1" applyBorder="1" applyAlignment="1">
      <alignment horizontal="center" vertical="center"/>
    </xf>
    <xf numFmtId="0" fontId="22" fillId="49" borderId="10" xfId="0" applyFont="1" applyFill="1" applyBorder="1" applyAlignment="1">
      <alignment horizontal="center" vertical="center"/>
    </xf>
    <xf numFmtId="0" fontId="21" fillId="0" borderId="9" xfId="0" applyFont="1" applyBorder="1" applyAlignment="1">
      <alignment horizontal="center" vertical="center"/>
    </xf>
    <xf numFmtId="14" fontId="22" fillId="18" borderId="9" xfId="0" applyNumberFormat="1" applyFont="1" applyFill="1" applyBorder="1" applyAlignment="1">
      <alignment horizontal="center" vertical="center"/>
    </xf>
    <xf numFmtId="0" fontId="22" fillId="18" borderId="9" xfId="0" applyFont="1" applyFill="1" applyBorder="1" applyAlignment="1">
      <alignment horizontal="center" vertical="center"/>
    </xf>
    <xf numFmtId="14" fontId="22" fillId="26" borderId="10" xfId="0" applyNumberFormat="1" applyFont="1" applyFill="1" applyBorder="1" applyAlignment="1">
      <alignment horizontal="center" vertical="center"/>
    </xf>
    <xf numFmtId="0" fontId="21" fillId="0" borderId="0" xfId="0" applyFont="1" applyAlignment="1">
      <alignment horizontal="center" wrapText="1"/>
    </xf>
    <xf numFmtId="14" fontId="21" fillId="29" borderId="10" xfId="0" applyNumberFormat="1" applyFont="1" applyFill="1" applyBorder="1" applyAlignment="1">
      <alignment horizontal="center" vertical="center"/>
    </xf>
    <xf numFmtId="14" fontId="21" fillId="29" borderId="10" xfId="0" applyNumberFormat="1" applyFont="1" applyFill="1" applyBorder="1" applyAlignment="1">
      <alignment horizontal="center" vertical="center" wrapText="1"/>
    </xf>
    <xf numFmtId="0" fontId="62" fillId="14" borderId="35" xfId="0" applyFont="1" applyFill="1" applyBorder="1" applyAlignment="1">
      <alignment horizontal="center" vertical="center"/>
    </xf>
    <xf numFmtId="0" fontId="21" fillId="14" borderId="35" xfId="0" applyFont="1" applyFill="1" applyBorder="1" applyAlignment="1">
      <alignment horizontal="center" vertical="center" wrapText="1"/>
    </xf>
    <xf numFmtId="0" fontId="21" fillId="14" borderId="39" xfId="0" applyFont="1" applyFill="1" applyBorder="1" applyAlignment="1">
      <alignment horizontal="center" vertical="center" wrapText="1"/>
    </xf>
    <xf numFmtId="0" fontId="62" fillId="14" borderId="1" xfId="0" applyFont="1" applyFill="1" applyBorder="1" applyAlignment="1">
      <alignment horizontal="center" vertical="center"/>
    </xf>
    <xf numFmtId="0" fontId="21" fillId="14" borderId="1" xfId="0" applyFont="1" applyFill="1" applyBorder="1" applyAlignment="1">
      <alignment horizontal="center" vertical="center"/>
    </xf>
    <xf numFmtId="0" fontId="94" fillId="0" borderId="0" xfId="0" applyFont="1" applyAlignment="1">
      <alignment horizontal="center" vertical="center"/>
    </xf>
    <xf numFmtId="0" fontId="0" fillId="0" borderId="0" xfId="0" applyAlignment="1">
      <alignment horizontal="center" vertical="center"/>
    </xf>
    <xf numFmtId="0" fontId="0" fillId="0" borderId="61" xfId="0" applyBorder="1" applyAlignment="1">
      <alignment horizontal="center" vertical="center"/>
    </xf>
    <xf numFmtId="0" fontId="0" fillId="0" borderId="1" xfId="0" applyBorder="1" applyAlignment="1">
      <alignment horizontal="center" vertical="center"/>
    </xf>
    <xf numFmtId="0" fontId="34"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8" xfId="0" applyFont="1" applyFill="1" applyBorder="1" applyAlignment="1">
      <alignment horizontal="center" vertical="center"/>
    </xf>
    <xf numFmtId="0" fontId="24" fillId="14" borderId="31" xfId="0" applyFont="1" applyFill="1" applyBorder="1" applyAlignment="1">
      <alignment horizontal="center" vertical="center"/>
    </xf>
    <xf numFmtId="0" fontId="24" fillId="14" borderId="32" xfId="0" applyFont="1" applyFill="1" applyBorder="1" applyAlignment="1">
      <alignment horizontal="center" vertical="center"/>
    </xf>
    <xf numFmtId="0" fontId="24" fillId="14" borderId="33" xfId="0" applyFont="1" applyFill="1" applyBorder="1" applyAlignment="1">
      <alignment horizontal="center" vertical="center"/>
    </xf>
    <xf numFmtId="0" fontId="104" fillId="66" borderId="20" xfId="0" applyFont="1" applyFill="1" applyBorder="1" applyAlignment="1">
      <alignment horizontal="center"/>
    </xf>
    <xf numFmtId="0" fontId="104" fillId="66" borderId="19" xfId="0" applyFont="1" applyFill="1" applyBorder="1" applyAlignment="1">
      <alignment horizontal="center"/>
    </xf>
    <xf numFmtId="0" fontId="105" fillId="29" borderId="0" xfId="0" applyFont="1" applyFill="1" applyAlignment="1">
      <alignment horizontal="center"/>
    </xf>
    <xf numFmtId="0" fontId="59" fillId="66" borderId="1" xfId="0" applyFont="1" applyFill="1" applyBorder="1" applyAlignment="1">
      <alignment horizontal="center"/>
    </xf>
    <xf numFmtId="0" fontId="102" fillId="29" borderId="1" xfId="0" applyFont="1" applyFill="1" applyBorder="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0" fillId="14" borderId="0" xfId="0" applyFont="1" applyFill="1" applyAlignment="1">
      <alignment horizontal="center"/>
    </xf>
    <xf numFmtId="0" fontId="0" fillId="0" borderId="1" xfId="0" applyBorder="1" applyAlignment="1">
      <alignment horizontal="left" vertical="center"/>
    </xf>
    <xf numFmtId="0" fontId="13" fillId="21" borderId="19" xfId="0" applyFont="1" applyFill="1" applyBorder="1" applyAlignment="1">
      <alignment horizontal="center" vertical="center"/>
    </xf>
  </cellXfs>
  <cellStyles count="4">
    <cellStyle name="Hyperlink" xfId="1" xr:uid="{00000000-000B-0000-0000-000008000000}"/>
    <cellStyle name="Lien hypertexte" xfId="2" builtinId="8"/>
    <cellStyle name="Milliers" xfId="3" builtinId="3"/>
    <cellStyle name="Normal" xfId="0" builtinId="0"/>
  </cellStyles>
  <dxfs count="33">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4"/>
        <name val="Century Gothic"/>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bottom style="thin">
          <color rgb="FF000000"/>
        </bottom>
      </border>
    </dxf>
    <dxf>
      <border outline="0">
        <left style="thin">
          <color indexed="64"/>
        </left>
        <right style="thin">
          <color indexed="64"/>
        </right>
        <top style="thin">
          <color rgb="FF000000"/>
        </top>
        <bottom style="thin">
          <color indexed="64"/>
        </bottom>
      </border>
    </dxf>
    <dxf>
      <font>
        <b/>
        <i val="0"/>
        <strike val="0"/>
        <condense val="0"/>
        <extend val="0"/>
        <outline val="0"/>
        <shadow val="0"/>
        <u val="none"/>
        <vertAlign val="baseline"/>
        <sz val="12"/>
        <color theme="1"/>
        <name val="Century Gothic"/>
        <family val="2"/>
        <scheme val="none"/>
      </font>
      <fill>
        <patternFill patternType="solid">
          <fgColor indexed="64"/>
          <bgColor theme="9" tint="0.5999938962981048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4"/>
        <name val="Century Gothic"/>
        <family val="2"/>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rgb="FF000000"/>
        </bottom>
      </border>
    </dxf>
    <dxf>
      <border outline="0">
        <left style="thin">
          <color indexed="64"/>
        </left>
        <right style="thin">
          <color indexed="64"/>
        </right>
        <top style="thin">
          <color rgb="FF000000"/>
        </top>
        <bottom style="thin">
          <color indexed="64"/>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Aptos Narrow"/>
        <family val="2"/>
        <scheme val="minor"/>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0"/>
        <name val="Aptos Narrow"/>
        <family val="2"/>
        <scheme val="minor"/>
      </font>
      <fill>
        <patternFill patternType="solid">
          <fgColor indexed="64"/>
          <bgColor rgb="FF0070C0"/>
        </patternFill>
      </fill>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auto="1"/>
        <name val="Aptos Narrow"/>
        <family val="2"/>
        <scheme val="minor"/>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indexed="64"/>
        </bottom>
      </border>
    </dxf>
    <dxf>
      <font>
        <b val="0"/>
        <strike val="0"/>
        <outline val="0"/>
        <shadow val="0"/>
        <u val="none"/>
        <vertAlign val="baseline"/>
        <sz val="11"/>
        <color auto="1"/>
      </font>
      <alignment textRotation="0" wrapText="1" indent="0" justifyLastLine="0" shrinkToFit="0" readingOrder="0"/>
      <border diagonalUp="0" outline="0">
        <left style="medium">
          <color indexed="64"/>
        </left>
        <right style="medium">
          <color indexed="64"/>
        </right>
        <top style="medium">
          <color indexed="64"/>
        </top>
        <bottom style="medium">
          <color indexed="64"/>
        </bottom>
      </border>
    </dxf>
    <dxf>
      <font>
        <b val="0"/>
        <strike val="0"/>
        <outline val="0"/>
        <shadow val="0"/>
        <u val="none"/>
        <vertAlign val="baseline"/>
        <sz val="11"/>
        <color auto="1"/>
      </font>
      <alignment textRotation="0" wrapText="1" indent="0" justifyLastLine="0" shrinkToFit="0" readingOrder="0"/>
      <border diagonalUp="0" outline="0">
        <left style="medium">
          <color indexed="64"/>
        </left>
        <right style="medium">
          <color indexed="64"/>
        </right>
        <top style="medium">
          <color indexed="64"/>
        </top>
        <bottom style="medium">
          <color indexed="64"/>
        </bottom>
      </border>
    </dxf>
    <dxf>
      <font>
        <b val="0"/>
        <strike val="0"/>
        <outline val="0"/>
        <shadow val="0"/>
        <u val="none"/>
        <vertAlign val="baseline"/>
        <sz val="11"/>
        <color auto="1"/>
      </font>
      <alignment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Aptos Narrow"/>
        <family val="2"/>
        <scheme val="minor"/>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Aptos Narrow"/>
        <family val="2"/>
        <scheme val="minor"/>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Aptos Narrow"/>
        <family val="2"/>
        <scheme val="minor"/>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strike val="0"/>
        <outline val="0"/>
        <shadow val="0"/>
        <u val="none"/>
        <vertAlign val="baseline"/>
        <sz val="11"/>
        <color auto="1"/>
      </font>
      <alignment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Aptos Narrow"/>
        <family val="2"/>
        <scheme val="minor"/>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Aptos Narrow"/>
        <family val="2"/>
        <scheme val="minor"/>
      </font>
      <numFmt numFmtId="19" formatCode="dd/mm/yyyy"/>
      <fill>
        <patternFill patternType="solid">
          <fgColor indexed="64"/>
          <bgColor theme="9" tint="0.59999389629810485"/>
        </patternFill>
      </fill>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auto="1"/>
        <name val="Aptos Narrow"/>
        <family val="2"/>
        <scheme val="none"/>
      </font>
      <alignment horizontal="left" vertical="center" textRotation="0" wrapText="1" indent="0" justifyLastLine="0" shrinkToFit="0" readingOrder="0"/>
      <border diagonalUp="0" diagonalDown="0" outline="0">
        <left/>
        <right style="medium">
          <color indexed="64"/>
        </right>
        <top style="medium">
          <color indexed="64"/>
        </top>
        <bottom style="medium">
          <color indexed="64"/>
        </bottom>
      </border>
    </dxf>
    <dxf>
      <border>
        <top style="medium">
          <color indexed="64"/>
        </top>
      </border>
    </dxf>
    <dxf>
      <border>
        <bottom style="medium">
          <color indexed="64"/>
        </bottom>
      </border>
    </dxf>
    <dxf>
      <border diagonalUp="0">
        <left style="medium">
          <color indexed="64"/>
        </left>
        <right style="medium">
          <color indexed="64"/>
        </right>
        <top style="medium">
          <color indexed="64"/>
        </top>
        <bottom style="medium">
          <color indexed="64"/>
        </bottom>
      </border>
    </dxf>
    <dxf>
      <font>
        <strike val="0"/>
        <outline val="0"/>
        <shadow val="0"/>
        <u val="none"/>
        <vertAlign val="baseline"/>
        <sz val="11"/>
        <color auto="1"/>
        <family val="2"/>
      </font>
      <alignment textRotation="0" wrapText="1" indent="0" justifyLastLine="0" shrinkToFit="0" readingOrder="0"/>
    </dxf>
    <dxf>
      <font>
        <b/>
        <i val="0"/>
        <strike val="0"/>
        <condense val="0"/>
        <extend val="0"/>
        <outline val="0"/>
        <shadow val="0"/>
        <u val="none"/>
        <vertAlign val="baseline"/>
        <sz val="11"/>
        <color auto="1"/>
        <name val="Aptos Narrow"/>
        <family val="2"/>
        <scheme val="none"/>
      </font>
      <fill>
        <patternFill patternType="solid">
          <fgColor rgb="FF00B0F0"/>
          <bgColor theme="0"/>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F55E2F"/>
      <color rgb="FFF02B1C"/>
      <color rgb="FFA7F7B8"/>
      <color rgb="FFF4AAF8"/>
      <color rgb="FFFB714B"/>
      <color rgb="FFFFD54F"/>
      <color rgb="FFFFFFCC"/>
      <color rgb="FFF47C7C"/>
      <color rgb="FF33CCFF"/>
      <color rgb="FFFF01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0/relationships/richValueRel" Target="richData/richValueRel.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3.png"/><Relationship Id="rId1" Type="http://schemas.openxmlformats.org/officeDocument/2006/relationships/customXml" Target="../ink/ink1.xml"/><Relationship Id="rId4" Type="http://schemas.openxmlformats.org/officeDocument/2006/relationships/customXml" Target="../ink/ink3.xml"/></Relationships>
</file>

<file path=xl/drawings/drawing1.xml><?xml version="1.0" encoding="utf-8"?>
<xdr:wsDr xmlns:xdr="http://schemas.openxmlformats.org/drawingml/2006/spreadsheetDrawing" xmlns:a="http://schemas.openxmlformats.org/drawingml/2006/main">
  <xdr:twoCellAnchor editAs="oneCell">
    <xdr:from>
      <xdr:col>10</xdr:col>
      <xdr:colOff>171450</xdr:colOff>
      <xdr:row>2</xdr:row>
      <xdr:rowOff>514350</xdr:rowOff>
    </xdr:from>
    <xdr:to>
      <xdr:col>12</xdr:col>
      <xdr:colOff>266700</xdr:colOff>
      <xdr:row>2</xdr:row>
      <xdr:rowOff>1307783</xdr:rowOff>
    </xdr:to>
    <xdr:pic>
      <xdr:nvPicPr>
        <xdr:cNvPr id="2" name="Image 1">
          <a:extLst>
            <a:ext uri="{FF2B5EF4-FFF2-40B4-BE49-F238E27FC236}">
              <a16:creationId xmlns:a16="http://schemas.microsoft.com/office/drawing/2014/main" id="{497CDB27-47BB-4C7B-BAFC-BD1E979C84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2371725"/>
          <a:ext cx="1619250" cy="793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1380885</xdr:colOff>
      <xdr:row>39</xdr:row>
      <xdr:rowOff>0</xdr:rowOff>
    </xdr:from>
    <xdr:to>
      <xdr:col>11</xdr:col>
      <xdr:colOff>1386875</xdr:colOff>
      <xdr:row>39</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cre 1">
              <a:extLst>
                <a:ext uri="{FF2B5EF4-FFF2-40B4-BE49-F238E27FC236}">
                  <a16:creationId xmlns:a16="http://schemas.microsoft.com/office/drawing/2014/main" id="{F0C56B96-AB4E-B3ED-757F-A15AB916E8BF}"/>
                </a:ext>
              </a:extLst>
            </xdr14:cNvPr>
            <xdr14:cNvContentPartPr/>
          </xdr14:nvContentPartPr>
          <xdr14:nvPr macro=""/>
          <xdr14:xfrm>
            <a:off x="12420360" y="12296595"/>
            <a:ext cx="360" cy="360"/>
          </xdr14:xfrm>
        </xdr:contentPart>
      </mc:Choice>
      <mc:Fallback xmlns="">
        <xdr:pic>
          <xdr:nvPicPr>
            <xdr:cNvPr id="2" name="Encre 1">
              <a:extLst>
                <a:ext uri="{FF2B5EF4-FFF2-40B4-BE49-F238E27FC236}">
                  <a16:creationId xmlns:a16="http://schemas.microsoft.com/office/drawing/2014/main" id="{F0C56B96-AB4E-B3ED-757F-A15AB916E8BF}"/>
                </a:ext>
              </a:extLst>
            </xdr:cNvPr>
            <xdr:cNvPicPr/>
          </xdr:nvPicPr>
          <xdr:blipFill>
            <a:blip xmlns:r="http://schemas.openxmlformats.org/officeDocument/2006/relationships" r:embed="rId2"/>
            <a:stretch>
              <a:fillRect/>
            </a:stretch>
          </xdr:blipFill>
          <xdr:spPr>
            <a:xfrm>
              <a:off x="12414240" y="12290475"/>
              <a:ext cx="12600" cy="12600"/>
            </a:xfrm>
            <a:prstGeom prst="rect">
              <a:avLst/>
            </a:prstGeom>
          </xdr:spPr>
        </xdr:pic>
      </mc:Fallback>
    </mc:AlternateContent>
    <xdr:clientData/>
  </xdr:twoCellAnchor>
  <xdr:twoCellAnchor editAs="oneCell">
    <xdr:from>
      <xdr:col>5</xdr:col>
      <xdr:colOff>323745</xdr:colOff>
      <xdr:row>47</xdr:row>
      <xdr:rowOff>371520</xdr:rowOff>
    </xdr:from>
    <xdr:to>
      <xdr:col>5</xdr:col>
      <xdr:colOff>324105</xdr:colOff>
      <xdr:row>48</xdr:row>
      <xdr:rowOff>405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Encre 2">
              <a:extLst>
                <a:ext uri="{FF2B5EF4-FFF2-40B4-BE49-F238E27FC236}">
                  <a16:creationId xmlns:a16="http://schemas.microsoft.com/office/drawing/2014/main" id="{0B772194-E051-F83A-6A1F-1EDA5DCFCB19}"/>
                </a:ext>
              </a:extLst>
            </xdr14:cNvPr>
            <xdr14:cNvContentPartPr/>
          </xdr14:nvContentPartPr>
          <xdr14:nvPr macro=""/>
          <xdr14:xfrm>
            <a:off x="5762520" y="12096795"/>
            <a:ext cx="360" cy="360"/>
          </xdr14:xfrm>
        </xdr:contentPart>
      </mc:Choice>
      <mc:Fallback xmlns="">
        <xdr:pic>
          <xdr:nvPicPr>
            <xdr:cNvPr id="3" name="Encre 2">
              <a:extLst>
                <a:ext uri="{FF2B5EF4-FFF2-40B4-BE49-F238E27FC236}">
                  <a16:creationId xmlns:a16="http://schemas.microsoft.com/office/drawing/2014/main" id="{0B772194-E051-F83A-6A1F-1EDA5DCFCB19}"/>
                </a:ext>
              </a:extLst>
            </xdr:cNvPr>
            <xdr:cNvPicPr/>
          </xdr:nvPicPr>
          <xdr:blipFill>
            <a:blip xmlns:r="http://schemas.openxmlformats.org/officeDocument/2006/relationships" r:embed="rId2"/>
            <a:stretch>
              <a:fillRect/>
            </a:stretch>
          </xdr:blipFill>
          <xdr:spPr>
            <a:xfrm>
              <a:off x="5756400" y="12090675"/>
              <a:ext cx="12600" cy="12600"/>
            </a:xfrm>
            <a:prstGeom prst="rect">
              <a:avLst/>
            </a:prstGeom>
          </xdr:spPr>
        </xdr:pic>
      </mc:Fallback>
    </mc:AlternateContent>
    <xdr:clientData/>
  </xdr:twoCellAnchor>
  <xdr:twoCellAnchor editAs="oneCell">
    <xdr:from>
      <xdr:col>5</xdr:col>
      <xdr:colOff>285585</xdr:colOff>
      <xdr:row>38</xdr:row>
      <xdr:rowOff>228600</xdr:rowOff>
    </xdr:from>
    <xdr:to>
      <xdr:col>5</xdr:col>
      <xdr:colOff>285945</xdr:colOff>
      <xdr:row>38</xdr:row>
      <xdr:rowOff>228960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Encre 3">
              <a:extLst>
                <a:ext uri="{FF2B5EF4-FFF2-40B4-BE49-F238E27FC236}">
                  <a16:creationId xmlns:a16="http://schemas.microsoft.com/office/drawing/2014/main" id="{BA16C3D2-7DDF-5C59-0B9F-0F2A85CF5460}"/>
                </a:ext>
              </a:extLst>
            </xdr14:cNvPr>
            <xdr14:cNvContentPartPr/>
          </xdr14:nvContentPartPr>
          <xdr14:nvPr macro=""/>
          <xdr14:xfrm>
            <a:off x="5724360" y="11953875"/>
            <a:ext cx="360" cy="360"/>
          </xdr14:xfrm>
        </xdr:contentPart>
      </mc:Choice>
      <mc:Fallback xmlns="">
        <xdr:pic>
          <xdr:nvPicPr>
            <xdr:cNvPr id="4" name="Encre 3">
              <a:extLst>
                <a:ext uri="{FF2B5EF4-FFF2-40B4-BE49-F238E27FC236}">
                  <a16:creationId xmlns:a16="http://schemas.microsoft.com/office/drawing/2014/main" id="{BA16C3D2-7DDF-5C59-0B9F-0F2A85CF5460}"/>
                </a:ext>
              </a:extLst>
            </xdr:cNvPr>
            <xdr:cNvPicPr/>
          </xdr:nvPicPr>
          <xdr:blipFill>
            <a:blip xmlns:r="http://schemas.openxmlformats.org/officeDocument/2006/relationships" r:embed="rId2"/>
            <a:stretch>
              <a:fillRect/>
            </a:stretch>
          </xdr:blipFill>
          <xdr:spPr>
            <a:xfrm>
              <a:off x="5718240" y="11947755"/>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8T09:38:14.743"/>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8T09:38:17.615"/>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8T09:38:37.510"/>
    </inkml:context>
    <inkml:brush xml:id="br0">
      <inkml:brushProperty name="width" value="0.035" units="cm"/>
      <inkml:brushProperty name="height" value="0.035" units="cm"/>
      <inkml:brushProperty name="color" value="#E71224"/>
    </inkml:brush>
  </inkml:definitions>
  <inkml:trace contextRef="#ctx0" brushRef="#br0">1 0 24575</inkml:trace>
</inkml:ink>
</file>

<file path=xl/persons/person.xml><?xml version="1.0" encoding="utf-8"?>
<personList xmlns="http://schemas.microsoft.com/office/spreadsheetml/2018/threadedcomments" xmlns:x="http://schemas.openxmlformats.org/spreadsheetml/2006/main">
  <person displayName="SAF LOGISTIQUE" id="{9E9210C0-E29A-4C95-8377-2AB75339B2FC}" userId="79ddeb9ba0673d1c" providerId="Windows Live"/>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660663-BD0D-4928-BDF9-7AA68098DB84}" name="Tableau5" displayName="Tableau5" ref="A1:K23" totalsRowShown="0" headerRowDxfId="32" dataDxfId="31" headerRowBorderDxfId="29" tableBorderDxfId="30" totalsRowBorderDxfId="28">
  <autoFilter ref="A1:K23" xr:uid="{A5660663-BD0D-4928-BDF9-7AA68098DB84}"/>
  <tableColumns count="11">
    <tableColumn id="1" xr3:uid="{B02D23FF-8573-4FB2-89E8-39DE27E1AC2F}" name="        Date validité     Conducteur" dataDxfId="27"/>
    <tableColumn id="2" xr3:uid="{D9C0ECD0-01A7-4321-8FE1-188D87870AF2}" name="Piece d'identité" dataDxfId="26"/>
    <tableColumn id="3" xr3:uid="{6F61EC17-36F4-43E8-BF29-47A8F54BC8E5}" name=" Permis de conduire" dataDxfId="25"/>
    <tableColumn id="4" xr3:uid="{DC862139-2974-449D-8409-FA9FE4DF763E}" name="ADR (formation)" dataDxfId="24"/>
    <tableColumn id="5" xr3:uid="{6A346A88-827B-4D77-87D3-80D96E5E888D}" name="CARTE DE CONDUCTEUR" dataDxfId="23"/>
    <tableColumn id="6" xr3:uid="{98A40A6E-0000-4D28-87A5-332C0FC81867}" name="FCO/FIMO" dataDxfId="22"/>
    <tableColumn id="7" xr3:uid="{5633D6DA-7B04-4AEB-9FC6-DB6AF255566C}" name="Medecine medicale PERMIS" dataDxfId="21"/>
    <tableColumn id="8" xr3:uid="{C6AFCD09-4FDE-484C-81B5-EDE63EF0DFB0}" name="Medecine de travail (EFFICIENCE)" dataDxfId="20"/>
    <tableColumn id="9" xr3:uid="{65FAF722-D896-460F-AD3B-F1C68798E635}" name="N° carte gazoile" dataDxfId="19"/>
    <tableColumn id="10" xr3:uid="{C4688D95-9393-4878-8872-0D6CBAC773CB}" name="N° CARTE CONDUCTEUR" dataDxfId="18"/>
    <tableColumn id="11" xr3:uid="{3FF16C55-7ADF-41C9-B70B-E9762E1F799D}" name="N° permis" dataDxfId="17"/>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5B4BD7-14D3-4D66-B597-3DF329D3F69E}" name="Tableau3" displayName="Tableau3" ref="A1:E41" totalsRowShown="0" headerRowDxfId="16" headerRowBorderDxfId="14" tableBorderDxfId="15" totalsRowBorderDxfId="13">
  <autoFilter ref="A1:E41" xr:uid="{765B4BD7-14D3-4D66-B597-3DF329D3F69E}"/>
  <tableColumns count="5">
    <tableColumn id="1" xr3:uid="{4E6650A3-E987-4568-AE60-BF67B480C248}" name=" Organisme" dataDxfId="12"/>
    <tableColumn id="2" xr3:uid="{DC621A1B-5103-4446-AA7D-197DF3198A96}" name="Lien" dataDxfId="11"/>
    <tableColumn id="3" xr3:uid="{1FF21934-D01D-40AD-BF97-5260AEF3511E}" name="Identifiant " dataDxfId="10"/>
    <tableColumn id="4" xr3:uid="{2DFE9A65-E24D-49B9-B6AC-37B0F2334759}" name="MDP" dataDxfId="9"/>
    <tableColumn id="5" xr3:uid="{95FB8639-B36A-4EAA-9C69-4D955866E9DD}" name="N°client" dataDxfId="8"/>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EE7D15-D287-414E-AF0F-32DEFE0A58FC}" name="Tableau1" displayName="Tableau1" ref="A2:B11" totalsRowShown="0" headerRowBorderDxfId="6" tableBorderDxfId="7">
  <autoFilter ref="A2:B11" xr:uid="{D9EE7D15-D287-414E-AF0F-32DEFE0A58FC}"/>
  <sortState xmlns:xlrd2="http://schemas.microsoft.com/office/spreadsheetml/2017/richdata2" ref="A3:B22">
    <sortCondition ref="A2:A22"/>
  </sortState>
  <tableColumns count="2">
    <tableColumn id="1" xr3:uid="{861F281A-CBE8-49B8-BB8B-0F0265A35ACD}" name="Nom chauffeur" dataDxfId="5"/>
    <tableColumn id="2" xr3:uid="{AEE5635D-3CA0-42AB-8E55-5E24EE4B5B8F}" name="Carte gasoil" dataDxfId="4"/>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0751B3-D7C1-49F2-9C10-9AC58E4AACC1}" name="Tableau13" displayName="Tableau13" ref="F2:G9" totalsRowShown="0" headerRowBorderDxfId="2" tableBorderDxfId="3">
  <autoFilter ref="F2:G9" xr:uid="{5A0751B3-D7C1-49F2-9C10-9AC58E4AACC1}"/>
  <sortState xmlns:xlrd2="http://schemas.microsoft.com/office/spreadsheetml/2017/richdata2" ref="F3:G22">
    <sortCondition ref="F2:F22"/>
  </sortState>
  <tableColumns count="2">
    <tableColumn id="1" xr3:uid="{1D80DE09-B918-44B5-B34F-B76FAF2D5888}" name="Nom chauffeur" dataDxfId="1"/>
    <tableColumn id="2" xr3:uid="{625741F8-8E9B-4019-BA43-6E490A2B9A1A}" name="Carte gasoil"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5" dT="2026-02-06T10:11:38.82" personId="{9E9210C0-E29A-4C95-8377-2AB75339B2FC}" id="{896EAA5D-1F18-4FDD-827A-C34DDFE6B14E}">
    <text>La demande est faite(04/02/2026)</text>
  </threadedComment>
  <threadedComment ref="F5" dT="2026-02-06T10:10:14.49" personId="{9E9210C0-E29A-4C95-8377-2AB75339B2FC}" id="{D574BAED-6CD8-4B8F-A2CD-7FF40CE93C3D}">
    <text xml:space="preserve">Formation-le 02/02/2026
</text>
  </threadedComment>
  <threadedComment ref="B6" dT="2026-01-14T10:33:55.77" personId="{9E9210C0-E29A-4C95-8377-2AB75339B2FC}" id="{0EA5972F-19C2-4F1E-8DD8-DF33E602B8A0}">
    <text>(demande envoyée)</text>
  </threadedComment>
  <threadedComment ref="B8" dT="2026-01-14T10:33:43.89" personId="{9E9210C0-E29A-4C95-8377-2AB75339B2FC}" id="{BD193B4B-1577-4FE3-A733-CBADDD630473}">
    <text>(pb prefecture</text>
  </threadedComment>
  <threadedComment ref="B11" dT="2026-01-14T10:34:21.06" personId="{9E9210C0-E29A-4C95-8377-2AB75339B2FC}" id="{2EFB35DE-85B0-48C1-A4EE-6559443DECCE}">
    <text>(papiers-Euro)</text>
  </threadedComment>
  <threadedComment ref="C11" dT="2026-01-14T10:29:57.64" personId="{9E9210C0-E29A-4C95-8377-2AB75339B2FC}" id="{527BC9F3-76B6-43D8-9BD5-CC4E72B23196}">
    <text>Demande faite</text>
  </threadedComment>
  <threadedComment ref="G11" dT="2026-01-14T10:31:41.81" personId="{9E9210C0-E29A-4C95-8377-2AB75339B2FC}" id="{5DE443C0-15A3-4C86-A092-737BFD99948A}">
    <text>En cours</text>
  </threadedComment>
  <threadedComment ref="H12" dT="2026-02-09T10:06:00.15" personId="{9E9210C0-E29A-4C95-8377-2AB75339B2FC}" id="{157A4FFC-A25A-4E4D-AD5C-377001D4B1C8}">
    <text>RV le 31-03-2026</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boukzine@live.fr" TargetMode="External"/><Relationship Id="rId3" Type="http://schemas.openxmlformats.org/officeDocument/2006/relationships/hyperlink" Target="mailto:madjid.9295@gmail.com" TargetMode="External"/><Relationship Id="rId7" Type="http://schemas.openxmlformats.org/officeDocument/2006/relationships/hyperlink" Target="mailto:adahdoud@yahoo.com" TargetMode="External"/><Relationship Id="rId2" Type="http://schemas.openxmlformats.org/officeDocument/2006/relationships/hyperlink" Target="mailto:badr.betti@gmail.com" TargetMode="External"/><Relationship Id="rId1" Type="http://schemas.openxmlformats.org/officeDocument/2006/relationships/hyperlink" Target="mailto:brillant.eddy93@gmail.com" TargetMode="External"/><Relationship Id="rId6" Type="http://schemas.openxmlformats.org/officeDocument/2006/relationships/hyperlink" Target="mailto:benachourkamel31@hotmail.com" TargetMode="External"/><Relationship Id="rId11" Type="http://schemas.openxmlformats.org/officeDocument/2006/relationships/printerSettings" Target="../printerSettings/printerSettings1.bin"/><Relationship Id="rId5" Type="http://schemas.openxmlformats.org/officeDocument/2006/relationships/hyperlink" Target="mailto:rachidjajamoustaine@gmail.com" TargetMode="External"/><Relationship Id="rId10" Type="http://schemas.openxmlformats.org/officeDocument/2006/relationships/hyperlink" Target="mailto:drameabdou427@gmail.com" TargetMode="External"/><Relationship Id="rId4" Type="http://schemas.openxmlformats.org/officeDocument/2006/relationships/hyperlink" Target="mailto:wambaachristian@gmail.com" TargetMode="External"/><Relationship Id="rId9" Type="http://schemas.openxmlformats.org/officeDocument/2006/relationships/hyperlink" Target="mailto:hourarihoucine127@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6" Type="http://schemas.openxmlformats.org/officeDocument/2006/relationships/hyperlink" Target="https://www.ants.gouv.fr/" TargetMode="External"/><Relationship Id="rId21" Type="http://schemas.openxmlformats.org/officeDocument/2006/relationships/hyperlink" Target="https://www.bouyguestelecom.fr/" TargetMode="External"/><Relationship Id="rId42" Type="http://schemas.openxmlformats.org/officeDocument/2006/relationships/hyperlink" Target="http://www.infogreffe.fr/" TargetMode="External"/><Relationship Id="rId47" Type="http://schemas.openxmlformats.org/officeDocument/2006/relationships/hyperlink" Target="mailto:saflogistique@hotmail.com" TargetMode="External"/><Relationship Id="rId63" Type="http://schemas.openxmlformats.org/officeDocument/2006/relationships/hyperlink" Target="mailto:saflogistique@hotmail.com" TargetMode="External"/><Relationship Id="rId68" Type="http://schemas.openxmlformats.org/officeDocument/2006/relationships/hyperlink" Target="mailto:Saflog@20242025" TargetMode="External"/><Relationship Id="rId16" Type="http://schemas.openxmlformats.org/officeDocument/2006/relationships/hyperlink" Target="mailto:saf.attabd@gmail.com" TargetMode="External"/><Relationship Id="rId11" Type="http://schemas.openxmlformats.org/officeDocument/2006/relationships/hyperlink" Target="mailto:saf.attabd@gmail.com" TargetMode="External"/><Relationship Id="rId32" Type="http://schemas.openxmlformats.org/officeDocument/2006/relationships/hyperlink" Target="https://www.net-entreprises.fr/" TargetMode="External"/><Relationship Id="rId37" Type="http://schemas.openxmlformats.org/officeDocument/2006/relationships/hyperlink" Target="https://www.all.accor.com/" TargetMode="External"/><Relationship Id="rId53" Type="http://schemas.openxmlformats.org/officeDocument/2006/relationships/hyperlink" Target="mailto:Saflog@20242025" TargetMode="External"/><Relationship Id="rId58" Type="http://schemas.openxmlformats.org/officeDocument/2006/relationships/hyperlink" Target="mailto:Saflog@20242025" TargetMode="External"/><Relationship Id="rId74" Type="http://schemas.openxmlformats.org/officeDocument/2006/relationships/hyperlink" Target="mailto:qxg2265xqajpx1@print.epsonconnect.com" TargetMode="External"/><Relationship Id="rId79" Type="http://schemas.openxmlformats.org/officeDocument/2006/relationships/hyperlink" Target="mailto:Direction@2026" TargetMode="External"/><Relationship Id="rId5" Type="http://schemas.openxmlformats.org/officeDocument/2006/relationships/hyperlink" Target="mailto:AbdallahSofiane@1985" TargetMode="External"/><Relationship Id="rId61" Type="http://schemas.openxmlformats.org/officeDocument/2006/relationships/hyperlink" Target="https://www.sanef.com/client" TargetMode="External"/><Relationship Id="rId19" Type="http://schemas.openxmlformats.org/officeDocument/2006/relationships/hyperlink" Target="mailto:saflogistique@hotmail.com" TargetMode="External"/><Relationship Id="rId14" Type="http://schemas.openxmlformats.org/officeDocument/2006/relationships/hyperlink" Target="mailto:saflogistique@hotmail.com" TargetMode="External"/><Relationship Id="rId22" Type="http://schemas.openxmlformats.org/officeDocument/2006/relationships/hyperlink" Target="https://www.mobility.totalenergies.com/" TargetMode="External"/><Relationship Id="rId27" Type="http://schemas.openxmlformats.org/officeDocument/2006/relationships/hyperlink" Target="https://www.vtweb.org/" TargetMode="External"/><Relationship Id="rId30" Type="http://schemas.openxmlformats.org/officeDocument/2006/relationships/hyperlink" Target="https://www.dbschenker.com/" TargetMode="External"/><Relationship Id="rId35" Type="http://schemas.openxmlformats.org/officeDocument/2006/relationships/hyperlink" Target="https://www.sfr.fr/" TargetMode="External"/><Relationship Id="rId43" Type="http://schemas.openxmlformats.org/officeDocument/2006/relationships/hyperlink" Target="https://web.regate.io/signin" TargetMode="External"/><Relationship Id="rId48" Type="http://schemas.openxmlformats.org/officeDocument/2006/relationships/hyperlink" Target="mailto:saflogistique@hotmail.com" TargetMode="External"/><Relationship Id="rId56" Type="http://schemas.openxmlformats.org/officeDocument/2006/relationships/hyperlink" Target="mailto:Saflog@20242025" TargetMode="External"/><Relationship Id="rId64" Type="http://schemas.openxmlformats.org/officeDocument/2006/relationships/hyperlink" Target="mailto:saflogabd@gmail.com" TargetMode="External"/><Relationship Id="rId69" Type="http://schemas.openxmlformats.org/officeDocument/2006/relationships/hyperlink" Target="mailto:Saflog@20242025" TargetMode="External"/><Relationship Id="rId77" Type="http://schemas.openxmlformats.org/officeDocument/2006/relationships/hyperlink" Target="mailto:Direction@2026" TargetMode="External"/><Relationship Id="rId8" Type="http://schemas.openxmlformats.org/officeDocument/2006/relationships/hyperlink" Target="mailto:saflogistique@hotmail.com" TargetMode="External"/><Relationship Id="rId51" Type="http://schemas.openxmlformats.org/officeDocument/2006/relationships/hyperlink" Target="mailto:Saflog@20242025" TargetMode="External"/><Relationship Id="rId72" Type="http://schemas.openxmlformats.org/officeDocument/2006/relationships/hyperlink" Target="https://www.dkv-mobility.com/" TargetMode="External"/><Relationship Id="rId80" Type="http://schemas.openxmlformats.org/officeDocument/2006/relationships/printerSettings" Target="../printerSettings/printerSettings7.bin"/><Relationship Id="rId3" Type="http://schemas.openxmlformats.org/officeDocument/2006/relationships/hyperlink" Target="mailto:saflogistique@hotmail.com" TargetMode="External"/><Relationship Id="rId12" Type="http://schemas.openxmlformats.org/officeDocument/2006/relationships/hyperlink" Target="mailto:saflogistique@hotmail.com" TargetMode="External"/><Relationship Id="rId17" Type="http://schemas.openxmlformats.org/officeDocument/2006/relationships/hyperlink" Target="mailto:saflogistique@hotmail.com" TargetMode="External"/><Relationship Id="rId25" Type="http://schemas.openxmlformats.org/officeDocument/2006/relationships/hyperlink" Target="https://www.axxes.fr/" TargetMode="External"/><Relationship Id="rId33" Type="http://schemas.openxmlformats.org/officeDocument/2006/relationships/hyperlink" Target="https://www.centrale-directe.com/" TargetMode="External"/><Relationship Id="rId38" Type="http://schemas.openxmlformats.org/officeDocument/2006/relationships/hyperlink" Target="https://www.fr.aliexpress.com/" TargetMode="External"/><Relationship Id="rId46" Type="http://schemas.openxmlformats.org/officeDocument/2006/relationships/hyperlink" Target="mailto:saflogistique@hotmail.com" TargetMode="External"/><Relationship Id="rId59" Type="http://schemas.openxmlformats.org/officeDocument/2006/relationships/hyperlink" Target="mailto:Saflog@20242025" TargetMode="External"/><Relationship Id="rId67" Type="http://schemas.openxmlformats.org/officeDocument/2006/relationships/hyperlink" Target="mailto:Saflog@20242025" TargetMode="External"/><Relationship Id="rId20" Type="http://schemas.openxmlformats.org/officeDocument/2006/relationships/hyperlink" Target="https://www.dkv-mobility.com/" TargetMode="External"/><Relationship Id="rId41" Type="http://schemas.openxmlformats.org/officeDocument/2006/relationships/hyperlink" Target="http://www.cic.fr/fr/particuliers/assurance/fonctionnalites-sante-en-ligne.html" TargetMode="External"/><Relationship Id="rId54" Type="http://schemas.openxmlformats.org/officeDocument/2006/relationships/hyperlink" Target="mailto:Saflog@20242025" TargetMode="External"/><Relationship Id="rId62" Type="http://schemas.openxmlformats.org/officeDocument/2006/relationships/hyperlink" Target="mailto:saflogistique@hotmail.com" TargetMode="External"/><Relationship Id="rId70" Type="http://schemas.openxmlformats.org/officeDocument/2006/relationships/hyperlink" Target="mailto:saf.logabd@gmail.com" TargetMode="External"/><Relationship Id="rId75" Type="http://schemas.openxmlformats.org/officeDocument/2006/relationships/hyperlink" Target="mailto:Direction@2025" TargetMode="External"/><Relationship Id="rId1" Type="http://schemas.openxmlformats.org/officeDocument/2006/relationships/hyperlink" Target="mailto:saflogistique@hotmail.com" TargetMode="External"/><Relationship Id="rId6" Type="http://schemas.openxmlformats.org/officeDocument/2006/relationships/hyperlink" Target="mailto:saflogistique@hotmail.com" TargetMode="External"/><Relationship Id="rId15" Type="http://schemas.openxmlformats.org/officeDocument/2006/relationships/hyperlink" Target="mailto:saflogabd@gmail.com" TargetMode="External"/><Relationship Id="rId23" Type="http://schemas.openxmlformats.org/officeDocument/2006/relationships/hyperlink" Target="https://www.gedtrans.com/" TargetMode="External"/><Relationship Id="rId28" Type="http://schemas.openxmlformats.org/officeDocument/2006/relationships/hyperlink" Target="https://www.andcotransport.com/" TargetMode="External"/><Relationship Id="rId36" Type="http://schemas.openxmlformats.org/officeDocument/2006/relationships/hyperlink" Target="https://www.go.tradeshift.com/" TargetMode="External"/><Relationship Id="rId49" Type="http://schemas.openxmlformats.org/officeDocument/2006/relationships/hyperlink" Target="mailto:Direction@2025" TargetMode="External"/><Relationship Id="rId57" Type="http://schemas.openxmlformats.org/officeDocument/2006/relationships/hyperlink" Target="mailto:Saflog@20242025" TargetMode="External"/><Relationship Id="rId10" Type="http://schemas.openxmlformats.org/officeDocument/2006/relationships/hyperlink" Target="mailto:saflogistique@hotmail.com" TargetMode="External"/><Relationship Id="rId31" Type="http://schemas.openxmlformats.org/officeDocument/2006/relationships/hyperlink" Target="https://www.efficience-santeautravail.org/" TargetMode="External"/><Relationship Id="rId44" Type="http://schemas.openxmlformats.org/officeDocument/2006/relationships/hyperlink" Target="https://web.regate.io/signin" TargetMode="External"/><Relationship Id="rId52" Type="http://schemas.openxmlformats.org/officeDocument/2006/relationships/hyperlink" Target="mailto:Saflog@20242025" TargetMode="External"/><Relationship Id="rId60" Type="http://schemas.openxmlformats.org/officeDocument/2006/relationships/hyperlink" Target="mailto:Saflog@20242025" TargetMode="External"/><Relationship Id="rId65" Type="http://schemas.openxmlformats.org/officeDocument/2006/relationships/hyperlink" Target="mailto:saf.attabd@gmail.com" TargetMode="External"/><Relationship Id="rId73" Type="http://schemas.openxmlformats.org/officeDocument/2006/relationships/hyperlink" Target="mailto:Direction@2025" TargetMode="External"/><Relationship Id="rId78" Type="http://schemas.openxmlformats.org/officeDocument/2006/relationships/hyperlink" Target="mailto:saf.attabd@gmail.com" TargetMode="External"/><Relationship Id="rId81" Type="http://schemas.openxmlformats.org/officeDocument/2006/relationships/table" Target="../tables/table2.xml"/><Relationship Id="rId4" Type="http://schemas.openxmlformats.org/officeDocument/2006/relationships/hyperlink" Target="mailto:saf.logabd@gmail.com" TargetMode="External"/><Relationship Id="rId9" Type="http://schemas.openxmlformats.org/officeDocument/2006/relationships/hyperlink" Target="mailto:saf.attabd@gmail.com" TargetMode="External"/><Relationship Id="rId13" Type="http://schemas.openxmlformats.org/officeDocument/2006/relationships/hyperlink" Target="mailto:saflogistique@hotmail.com" TargetMode="External"/><Relationship Id="rId18" Type="http://schemas.openxmlformats.org/officeDocument/2006/relationships/hyperlink" Target="mailto:saflogistique@hotmail.com" TargetMode="External"/><Relationship Id="rId39" Type="http://schemas.openxmlformats.org/officeDocument/2006/relationships/hyperlink" Target="mailto:saflogistique@hotmail.com" TargetMode="External"/><Relationship Id="rId34" Type="http://schemas.openxmlformats.org/officeDocument/2006/relationships/hyperlink" Target="https://www.webfleet.com/" TargetMode="External"/><Relationship Id="rId50" Type="http://schemas.openxmlformats.org/officeDocument/2006/relationships/hyperlink" Target="mailto:Direction@2025" TargetMode="External"/><Relationship Id="rId55" Type="http://schemas.openxmlformats.org/officeDocument/2006/relationships/hyperlink" Target="mailto:Saflog@20242025" TargetMode="External"/><Relationship Id="rId76" Type="http://schemas.openxmlformats.org/officeDocument/2006/relationships/hyperlink" Target="mailto:saf.logabd@gmail.com" TargetMode="External"/><Relationship Id="rId7" Type="http://schemas.openxmlformats.org/officeDocument/2006/relationships/hyperlink" Target="mailto:saflogistique@hotmail.com" TargetMode="External"/><Relationship Id="rId71" Type="http://schemas.openxmlformats.org/officeDocument/2006/relationships/hyperlink" Target="mailto:Direction@2026" TargetMode="External"/><Relationship Id="rId2" Type="http://schemas.openxmlformats.org/officeDocument/2006/relationships/hyperlink" Target="mailto:saflogistique@hotmail.com" TargetMode="External"/><Relationship Id="rId29" Type="http://schemas.openxmlformats.org/officeDocument/2006/relationships/hyperlink" Target="https://www.opcomobilites.fr/" TargetMode="External"/><Relationship Id="rId24" Type="http://schemas.openxmlformats.org/officeDocument/2006/relationships/hyperlink" Target="http://www.gedtrans.com/" TargetMode="External"/><Relationship Id="rId40" Type="http://schemas.openxmlformats.org/officeDocument/2006/relationships/hyperlink" Target="http://www.kmparts.de/" TargetMode="External"/><Relationship Id="rId45" Type="http://schemas.openxmlformats.org/officeDocument/2006/relationships/hyperlink" Target="mailto:Direction@2025" TargetMode="External"/><Relationship Id="rId66" Type="http://schemas.openxmlformats.org/officeDocument/2006/relationships/hyperlink" Target="mailto:Direction@202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saf-at+customer@app.regate.io" TargetMode="External"/><Relationship Id="rId3" Type="http://schemas.openxmlformats.org/officeDocument/2006/relationships/hyperlink" Target="mailto:saf.attabd@gmail.com" TargetMode="External"/><Relationship Id="rId7" Type="http://schemas.openxmlformats.org/officeDocument/2006/relationships/hyperlink" Target="mailto:saf-at@app.regate.io" TargetMode="External"/><Relationship Id="rId2" Type="http://schemas.openxmlformats.org/officeDocument/2006/relationships/hyperlink" Target="mailto:saf.logabd@gmail.com" TargetMode="External"/><Relationship Id="rId1" Type="http://schemas.openxmlformats.org/officeDocument/2006/relationships/hyperlink" Target="mailto:saflogistique@hotmail.com" TargetMode="External"/><Relationship Id="rId6" Type="http://schemas.openxmlformats.org/officeDocument/2006/relationships/hyperlink" Target="mailto:saf-logistique+1+customer@app.regate.io" TargetMode="External"/><Relationship Id="rId5" Type="http://schemas.openxmlformats.org/officeDocument/2006/relationships/hyperlink" Target="mailto:saf-log+customer@app.regate.io" TargetMode="External"/><Relationship Id="rId10" Type="http://schemas.openxmlformats.org/officeDocument/2006/relationships/printerSettings" Target="../printerSettings/printerSettings8.bin"/><Relationship Id="rId4" Type="http://schemas.openxmlformats.org/officeDocument/2006/relationships/hyperlink" Target="mailto:saf-log@app.regate.io" TargetMode="External"/><Relationship Id="rId9" Type="http://schemas.openxmlformats.org/officeDocument/2006/relationships/hyperlink" Target="mailto:saf-logistique+1@app.regate.io"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3415-D77C-4FB4-8212-BCC0CAABBE6E}">
  <sheetPr>
    <tabColor theme="8" tint="0.39997558519241921"/>
  </sheetPr>
  <dimension ref="A1:U50"/>
  <sheetViews>
    <sheetView workbookViewId="0">
      <pane xSplit="1" topLeftCell="B1" activePane="topRight" state="frozen"/>
      <selection pane="topRight" activeCell="D19" sqref="D19"/>
    </sheetView>
  </sheetViews>
  <sheetFormatPr defaultColWidth="11.42578125" defaultRowHeight="15"/>
  <cols>
    <col min="1" max="1" width="23" style="225" bestFit="1" customWidth="1"/>
    <col min="2" max="2" width="18.140625" style="225" customWidth="1"/>
    <col min="3" max="3" width="17.5703125" style="225" customWidth="1"/>
    <col min="4" max="4" width="23" style="225" customWidth="1"/>
    <col min="5" max="5" width="23" style="1" customWidth="1"/>
    <col min="6" max="6" width="31.140625" style="1" customWidth="1"/>
    <col min="7" max="7" width="7.7109375" style="1" customWidth="1"/>
    <col min="8" max="8" width="31.85546875" style="1" customWidth="1"/>
    <col min="9" max="9" width="22" style="1" customWidth="1"/>
    <col min="10" max="10" width="20.5703125" style="1" hidden="1" customWidth="1"/>
    <col min="11" max="11" width="18.5703125" style="1" hidden="1" customWidth="1"/>
    <col min="12" max="12" width="15" style="256" customWidth="1"/>
    <col min="13" max="13" width="38.5703125" style="256" customWidth="1"/>
    <col min="14" max="14" width="22.42578125" style="256" customWidth="1"/>
    <col min="15" max="15" width="26.85546875" style="225" bestFit="1" customWidth="1"/>
    <col min="16" max="16" width="26.28515625" style="225" customWidth="1"/>
    <col min="17" max="17" width="23.28515625" style="225" customWidth="1"/>
    <col min="18" max="18" width="19.85546875" style="225" bestFit="1" customWidth="1"/>
    <col min="19" max="19" width="29" style="225" customWidth="1"/>
    <col min="20" max="20" width="30.140625" style="225" bestFit="1" customWidth="1"/>
    <col min="21" max="21" width="19.7109375" style="225" bestFit="1" customWidth="1"/>
    <col min="22" max="22" width="20.5703125" style="225" customWidth="1"/>
    <col min="23" max="23" width="20.42578125" style="225" bestFit="1" customWidth="1"/>
    <col min="24" max="24" width="22.85546875" style="225" bestFit="1" customWidth="1"/>
    <col min="25" max="16384" width="11.42578125" style="225"/>
  </cols>
  <sheetData>
    <row r="1" spans="1:21" ht="34.5">
      <c r="A1" s="123" t="s">
        <v>0</v>
      </c>
      <c r="B1" s="123" t="s">
        <v>1</v>
      </c>
      <c r="C1" s="123" t="s">
        <v>2</v>
      </c>
      <c r="D1" s="422" t="s">
        <v>3</v>
      </c>
      <c r="E1" s="123" t="s">
        <v>4</v>
      </c>
      <c r="F1" s="123" t="s">
        <v>5</v>
      </c>
      <c r="G1" s="123" t="s">
        <v>6</v>
      </c>
      <c r="H1" s="123" t="s">
        <v>7</v>
      </c>
      <c r="I1" s="123" t="s">
        <v>8</v>
      </c>
      <c r="J1" s="123" t="s">
        <v>9</v>
      </c>
      <c r="K1" s="123" t="s">
        <v>10</v>
      </c>
      <c r="L1" s="123" t="s">
        <v>11</v>
      </c>
      <c r="M1" s="123" t="s">
        <v>12</v>
      </c>
      <c r="N1" s="123" t="s">
        <v>13</v>
      </c>
      <c r="O1" s="123" t="s">
        <v>14</v>
      </c>
      <c r="P1" s="123" t="s">
        <v>15</v>
      </c>
      <c r="Q1" s="123" t="s">
        <v>16</v>
      </c>
      <c r="R1" s="123" t="s">
        <v>17</v>
      </c>
      <c r="S1" s="123" t="s">
        <v>2</v>
      </c>
      <c r="T1" s="123" t="s">
        <v>18</v>
      </c>
      <c r="U1" s="123" t="s">
        <v>19</v>
      </c>
    </row>
    <row r="2" spans="1:21" ht="20.100000000000001" customHeight="1">
      <c r="A2" s="227" t="s">
        <v>20</v>
      </c>
      <c r="B2" s="423" t="s">
        <v>21</v>
      </c>
      <c r="C2" s="251" t="s">
        <v>22</v>
      </c>
      <c r="D2" s="424">
        <v>43408</v>
      </c>
      <c r="E2" s="424">
        <v>30705</v>
      </c>
      <c r="F2" s="425" t="s">
        <v>23</v>
      </c>
      <c r="G2" s="425">
        <v>95190</v>
      </c>
      <c r="H2" s="425" t="s">
        <v>24</v>
      </c>
      <c r="I2" s="424"/>
      <c r="J2" s="424"/>
      <c r="K2" s="424"/>
      <c r="L2" s="426" t="s">
        <v>25</v>
      </c>
      <c r="M2" s="427"/>
      <c r="N2" s="428">
        <v>173099938018708</v>
      </c>
      <c r="O2" s="429" t="s">
        <v>26</v>
      </c>
      <c r="P2" s="251" t="s">
        <v>27</v>
      </c>
      <c r="Q2" s="430">
        <v>17017820011</v>
      </c>
      <c r="R2" s="251" t="s">
        <v>28</v>
      </c>
      <c r="S2" s="251" t="s">
        <v>22</v>
      </c>
      <c r="T2" s="251" t="s">
        <v>29</v>
      </c>
      <c r="U2" s="251"/>
    </row>
    <row r="3" spans="1:21" ht="20.100000000000001" customHeight="1">
      <c r="A3" s="227" t="s">
        <v>30</v>
      </c>
      <c r="B3" s="431" t="s">
        <v>31</v>
      </c>
      <c r="C3" s="251" t="s">
        <v>22</v>
      </c>
      <c r="D3" s="432"/>
      <c r="E3" s="425" t="s">
        <v>32</v>
      </c>
      <c r="F3" s="425" t="s">
        <v>33</v>
      </c>
      <c r="G3" s="425">
        <v>78955</v>
      </c>
      <c r="H3" s="425" t="s">
        <v>34</v>
      </c>
      <c r="I3" s="425"/>
      <c r="J3" s="425"/>
      <c r="K3" s="425"/>
      <c r="L3" s="433" t="s">
        <v>35</v>
      </c>
      <c r="M3" s="434"/>
      <c r="N3" s="435" t="s">
        <v>36</v>
      </c>
      <c r="O3" s="251" t="s">
        <v>37</v>
      </c>
      <c r="P3" s="251" t="s">
        <v>38</v>
      </c>
      <c r="Q3" s="430"/>
      <c r="R3" s="251" t="s">
        <v>39</v>
      </c>
      <c r="S3" s="251" t="s">
        <v>22</v>
      </c>
      <c r="T3" s="251" t="s">
        <v>29</v>
      </c>
      <c r="U3" s="252" t="s">
        <v>40</v>
      </c>
    </row>
    <row r="4" spans="1:21" ht="20.100000000000001" customHeight="1">
      <c r="A4" s="227" t="s">
        <v>41</v>
      </c>
      <c r="B4" s="423" t="s">
        <v>21</v>
      </c>
      <c r="C4" s="251" t="s">
        <v>42</v>
      </c>
      <c r="D4" s="425"/>
      <c r="E4" s="424">
        <v>31300</v>
      </c>
      <c r="F4" s="425" t="s">
        <v>43</v>
      </c>
      <c r="G4" s="425">
        <v>78400</v>
      </c>
      <c r="H4" s="425" t="s">
        <v>44</v>
      </c>
      <c r="I4" s="424" t="s">
        <v>45</v>
      </c>
      <c r="J4" s="424"/>
      <c r="K4" s="424"/>
      <c r="L4" s="433" t="s">
        <v>46</v>
      </c>
      <c r="M4" s="434"/>
      <c r="N4" s="435"/>
      <c r="O4" s="251" t="s">
        <v>47</v>
      </c>
      <c r="P4" s="251" t="s">
        <v>48</v>
      </c>
      <c r="Q4" s="430">
        <v>30995100379</v>
      </c>
      <c r="R4" s="251" t="s">
        <v>49</v>
      </c>
      <c r="S4" s="251" t="s">
        <v>42</v>
      </c>
      <c r="T4" s="251" t="s">
        <v>29</v>
      </c>
      <c r="U4" s="252" t="s">
        <v>40</v>
      </c>
    </row>
    <row r="5" spans="1:21" ht="20.100000000000001" customHeight="1">
      <c r="A5" s="221" t="s">
        <v>50</v>
      </c>
      <c r="B5" s="436" t="s">
        <v>21</v>
      </c>
      <c r="C5" s="235" t="s">
        <v>51</v>
      </c>
      <c r="D5" s="409">
        <v>44411</v>
      </c>
      <c r="E5" s="409">
        <v>29928</v>
      </c>
      <c r="F5" s="420" t="s">
        <v>52</v>
      </c>
      <c r="G5" s="420">
        <v>92700</v>
      </c>
      <c r="H5" s="420" t="s">
        <v>53</v>
      </c>
      <c r="I5" s="440" t="s">
        <v>54</v>
      </c>
      <c r="J5" s="409"/>
      <c r="K5" s="409"/>
      <c r="L5" s="506" t="s">
        <v>55</v>
      </c>
      <c r="M5" s="437" t="s">
        <v>56</v>
      </c>
      <c r="N5" s="438">
        <v>181129935270385</v>
      </c>
      <c r="O5" s="235" t="s">
        <v>57</v>
      </c>
      <c r="P5" s="235" t="s">
        <v>58</v>
      </c>
      <c r="Q5" s="439">
        <v>140992300535</v>
      </c>
      <c r="R5" s="235" t="s">
        <v>28</v>
      </c>
      <c r="S5" s="235" t="s">
        <v>51</v>
      </c>
      <c r="T5" s="235" t="s">
        <v>29</v>
      </c>
      <c r="U5" s="253" t="s">
        <v>40</v>
      </c>
    </row>
    <row r="6" spans="1:21" ht="20.100000000000001" customHeight="1">
      <c r="A6" s="221" t="s">
        <v>59</v>
      </c>
      <c r="B6" s="436" t="s">
        <v>21</v>
      </c>
      <c r="C6" s="235" t="s">
        <v>51</v>
      </c>
      <c r="D6" s="409">
        <v>32389</v>
      </c>
      <c r="E6" s="409">
        <v>32389</v>
      </c>
      <c r="F6" s="420" t="s">
        <v>60</v>
      </c>
      <c r="G6" s="420">
        <v>82500</v>
      </c>
      <c r="H6" s="420" t="s">
        <v>61</v>
      </c>
      <c r="I6" s="409" t="s">
        <v>62</v>
      </c>
      <c r="J6" s="409"/>
      <c r="K6" s="409"/>
      <c r="L6" s="506" t="s">
        <v>63</v>
      </c>
      <c r="M6" s="437" t="s">
        <v>64</v>
      </c>
      <c r="N6" s="438">
        <v>188099935096376</v>
      </c>
      <c r="O6" s="235" t="s">
        <v>65</v>
      </c>
      <c r="P6" s="235" t="s">
        <v>66</v>
      </c>
      <c r="Q6" s="439">
        <v>220382200332</v>
      </c>
      <c r="R6" s="235" t="s">
        <v>28</v>
      </c>
      <c r="S6" s="235" t="s">
        <v>51</v>
      </c>
      <c r="T6" s="235" t="s">
        <v>29</v>
      </c>
      <c r="U6" s="253" t="s">
        <v>40</v>
      </c>
    </row>
    <row r="7" spans="1:21" ht="20.100000000000001" customHeight="1">
      <c r="A7" s="221" t="s">
        <v>67</v>
      </c>
      <c r="B7" s="436" t="s">
        <v>21</v>
      </c>
      <c r="C7" s="235"/>
      <c r="D7" s="409">
        <v>44721</v>
      </c>
      <c r="E7" s="409">
        <v>33963</v>
      </c>
      <c r="F7" s="420" t="s">
        <v>68</v>
      </c>
      <c r="G7" s="420">
        <v>92000</v>
      </c>
      <c r="H7" s="420" t="s">
        <v>69</v>
      </c>
      <c r="I7" s="440" t="s">
        <v>54</v>
      </c>
      <c r="J7" s="409"/>
      <c r="K7" s="409"/>
      <c r="L7" s="441">
        <v>753279272</v>
      </c>
      <c r="M7" s="434" t="s">
        <v>70</v>
      </c>
      <c r="N7" s="438">
        <v>192129935321504</v>
      </c>
      <c r="O7" s="442" t="s">
        <v>71</v>
      </c>
      <c r="P7" s="235"/>
      <c r="Q7" s="439">
        <v>401375000</v>
      </c>
      <c r="R7" s="235"/>
      <c r="S7" s="235"/>
      <c r="T7" s="235"/>
      <c r="U7" s="253"/>
    </row>
    <row r="8" spans="1:21" ht="20.100000000000001" customHeight="1">
      <c r="A8" s="221" t="s">
        <v>72</v>
      </c>
      <c r="B8" s="436" t="s">
        <v>21</v>
      </c>
      <c r="C8" s="235"/>
      <c r="D8" s="409"/>
      <c r="E8" s="409">
        <v>32805</v>
      </c>
      <c r="F8" s="420" t="s">
        <v>73</v>
      </c>
      <c r="G8" s="420">
        <v>78440</v>
      </c>
      <c r="H8" s="420" t="s">
        <v>74</v>
      </c>
      <c r="I8" s="440"/>
      <c r="J8" s="409"/>
      <c r="K8" s="409"/>
      <c r="L8" s="441">
        <v>695245709</v>
      </c>
      <c r="M8" s="434"/>
      <c r="N8" s="438"/>
      <c r="O8" s="442"/>
      <c r="P8" s="235"/>
      <c r="Q8" s="439"/>
      <c r="R8" s="235"/>
      <c r="S8" s="235"/>
      <c r="T8" s="235"/>
      <c r="U8" s="253"/>
    </row>
    <row r="9" spans="1:21" ht="20.100000000000001" customHeight="1">
      <c r="A9" s="221" t="s">
        <v>75</v>
      </c>
      <c r="B9" s="443" t="s">
        <v>76</v>
      </c>
      <c r="C9" s="235" t="s">
        <v>77</v>
      </c>
      <c r="D9" s="409" t="s">
        <v>78</v>
      </c>
      <c r="E9" s="409">
        <v>30390</v>
      </c>
      <c r="F9" s="420" t="s">
        <v>79</v>
      </c>
      <c r="G9" s="420">
        <v>78200</v>
      </c>
      <c r="H9" s="420" t="s">
        <v>80</v>
      </c>
      <c r="I9" s="440" t="s">
        <v>54</v>
      </c>
      <c r="J9" s="409"/>
      <c r="K9" s="409"/>
      <c r="L9" s="506" t="s">
        <v>81</v>
      </c>
      <c r="M9" s="234" t="s">
        <v>82</v>
      </c>
      <c r="N9" s="438">
        <v>183039935013187</v>
      </c>
      <c r="O9" s="235" t="s">
        <v>83</v>
      </c>
      <c r="P9" s="235" t="s">
        <v>84</v>
      </c>
      <c r="Q9" s="439">
        <v>10478100085</v>
      </c>
      <c r="R9" s="235" t="s">
        <v>28</v>
      </c>
      <c r="S9" s="235" t="s">
        <v>77</v>
      </c>
      <c r="T9" s="235" t="s">
        <v>85</v>
      </c>
      <c r="U9" s="253"/>
    </row>
    <row r="10" spans="1:21" ht="20.100000000000001" customHeight="1">
      <c r="A10" s="221" t="s">
        <v>86</v>
      </c>
      <c r="B10" s="436" t="s">
        <v>21</v>
      </c>
      <c r="C10" s="235" t="s">
        <v>51</v>
      </c>
      <c r="D10" s="409">
        <v>45079</v>
      </c>
      <c r="E10" s="409">
        <v>31859</v>
      </c>
      <c r="F10" s="420" t="s">
        <v>87</v>
      </c>
      <c r="G10" s="420">
        <v>93150</v>
      </c>
      <c r="H10" s="420" t="s">
        <v>88</v>
      </c>
      <c r="I10" s="440" t="s">
        <v>89</v>
      </c>
      <c r="J10" s="409"/>
      <c r="K10" s="409"/>
      <c r="L10" s="506" t="s">
        <v>90</v>
      </c>
      <c r="M10" s="437" t="s">
        <v>91</v>
      </c>
      <c r="N10" s="438">
        <v>187039300717319</v>
      </c>
      <c r="O10" s="235"/>
      <c r="P10" s="235" t="s">
        <v>92</v>
      </c>
      <c r="Q10" s="444">
        <v>220382200332</v>
      </c>
      <c r="R10" s="235" t="s">
        <v>93</v>
      </c>
      <c r="S10" s="235" t="s">
        <v>51</v>
      </c>
      <c r="T10" s="235" t="s">
        <v>94</v>
      </c>
      <c r="U10" s="253"/>
    </row>
    <row r="11" spans="1:21" ht="20.100000000000001" customHeight="1">
      <c r="A11" s="221" t="s">
        <v>95</v>
      </c>
      <c r="B11" s="436" t="s">
        <v>21</v>
      </c>
      <c r="C11" s="235" t="s">
        <v>77</v>
      </c>
      <c r="D11" s="409">
        <v>43861</v>
      </c>
      <c r="E11" s="409">
        <v>27192</v>
      </c>
      <c r="F11" s="420" t="s">
        <v>96</v>
      </c>
      <c r="G11" s="420">
        <v>78200</v>
      </c>
      <c r="H11" s="420" t="s">
        <v>80</v>
      </c>
      <c r="I11" s="440" t="s">
        <v>97</v>
      </c>
      <c r="J11" s="409"/>
      <c r="K11" s="409"/>
      <c r="L11" s="506" t="s">
        <v>98</v>
      </c>
      <c r="M11" s="434" t="s">
        <v>70</v>
      </c>
      <c r="N11" s="438">
        <v>174069938019005</v>
      </c>
      <c r="O11" s="445" t="s">
        <v>99</v>
      </c>
      <c r="P11" s="235" t="s">
        <v>100</v>
      </c>
      <c r="Q11" s="439"/>
      <c r="R11" s="235" t="s">
        <v>28</v>
      </c>
      <c r="S11" s="235" t="s">
        <v>77</v>
      </c>
      <c r="T11" s="235" t="s">
        <v>85</v>
      </c>
      <c r="U11" s="253" t="s">
        <v>40</v>
      </c>
    </row>
    <row r="12" spans="1:21" ht="20.100000000000001" customHeight="1">
      <c r="A12" s="221" t="s">
        <v>101</v>
      </c>
      <c r="B12" s="436" t="s">
        <v>21</v>
      </c>
      <c r="C12" s="235" t="s">
        <v>77</v>
      </c>
      <c r="D12" s="420"/>
      <c r="E12" s="409">
        <v>26927</v>
      </c>
      <c r="F12" s="420" t="s">
        <v>102</v>
      </c>
      <c r="G12" s="420">
        <v>27320</v>
      </c>
      <c r="H12" s="420" t="s">
        <v>103</v>
      </c>
      <c r="I12" s="440" t="s">
        <v>104</v>
      </c>
      <c r="J12" s="409"/>
      <c r="K12" s="409"/>
      <c r="L12" s="506" t="s">
        <v>105</v>
      </c>
      <c r="M12" s="234" t="s">
        <v>106</v>
      </c>
      <c r="N12" s="438">
        <v>173099938018708</v>
      </c>
      <c r="O12" s="235" t="s">
        <v>107</v>
      </c>
      <c r="P12" s="235" t="s">
        <v>108</v>
      </c>
      <c r="Q12" s="439">
        <v>170178200113</v>
      </c>
      <c r="R12" s="235" t="s">
        <v>39</v>
      </c>
      <c r="S12" s="235" t="s">
        <v>77</v>
      </c>
      <c r="T12" s="235" t="s">
        <v>85</v>
      </c>
      <c r="U12" s="253" t="s">
        <v>40</v>
      </c>
    </row>
    <row r="13" spans="1:21" ht="20.100000000000001" customHeight="1">
      <c r="A13" s="221" t="s">
        <v>109</v>
      </c>
      <c r="B13" s="436" t="s">
        <v>21</v>
      </c>
      <c r="C13" s="235" t="s">
        <v>110</v>
      </c>
      <c r="D13" s="409">
        <v>42643</v>
      </c>
      <c r="E13" s="409">
        <v>25741</v>
      </c>
      <c r="F13" s="420" t="s">
        <v>111</v>
      </c>
      <c r="G13" s="420">
        <v>95150</v>
      </c>
      <c r="H13" s="420" t="s">
        <v>112</v>
      </c>
      <c r="I13" s="440" t="s">
        <v>113</v>
      </c>
      <c r="J13" s="409"/>
      <c r="K13" s="409"/>
      <c r="L13" s="506" t="s">
        <v>114</v>
      </c>
      <c r="M13" s="434" t="s">
        <v>70</v>
      </c>
      <c r="N13" s="438">
        <v>1.70069931800245E+16</v>
      </c>
      <c r="O13" s="235" t="s">
        <v>115</v>
      </c>
      <c r="P13" s="235" t="s">
        <v>116</v>
      </c>
      <c r="Q13" s="439">
        <v>609716000</v>
      </c>
      <c r="R13" s="235" t="s">
        <v>39</v>
      </c>
      <c r="S13" s="235" t="s">
        <v>110</v>
      </c>
      <c r="T13" s="235" t="s">
        <v>85</v>
      </c>
      <c r="U13" s="253" t="s">
        <v>40</v>
      </c>
    </row>
    <row r="14" spans="1:21" ht="20.100000000000001" customHeight="1">
      <c r="A14" s="221" t="s">
        <v>117</v>
      </c>
      <c r="B14" s="436" t="s">
        <v>21</v>
      </c>
      <c r="C14" s="235"/>
      <c r="D14" s="409">
        <v>45828</v>
      </c>
      <c r="E14" s="409">
        <v>45828</v>
      </c>
      <c r="F14" s="420" t="s">
        <v>118</v>
      </c>
      <c r="G14" s="420">
        <v>95800</v>
      </c>
      <c r="H14" s="420" t="s">
        <v>119</v>
      </c>
      <c r="I14" s="440"/>
      <c r="J14" s="409"/>
      <c r="K14" s="409"/>
      <c r="L14" s="446">
        <v>706588608</v>
      </c>
      <c r="M14" s="234" t="s">
        <v>120</v>
      </c>
      <c r="N14" s="438">
        <v>199059933506644</v>
      </c>
      <c r="O14" s="447" t="s">
        <v>121</v>
      </c>
      <c r="P14" s="448" t="s">
        <v>122</v>
      </c>
      <c r="Q14" s="439"/>
      <c r="R14" s="235"/>
      <c r="S14" s="235"/>
      <c r="T14" s="235"/>
      <c r="U14" s="253"/>
    </row>
    <row r="15" spans="1:21" ht="20.100000000000001" customHeight="1">
      <c r="A15" s="221" t="s">
        <v>123</v>
      </c>
      <c r="B15" s="436" t="s">
        <v>21</v>
      </c>
      <c r="C15" s="235" t="s">
        <v>124</v>
      </c>
      <c r="D15" s="420"/>
      <c r="E15" s="409">
        <v>30066</v>
      </c>
      <c r="F15" s="420" t="s">
        <v>125</v>
      </c>
      <c r="G15" s="420">
        <v>78200</v>
      </c>
      <c r="H15" s="420" t="s">
        <v>126</v>
      </c>
      <c r="I15" s="440" t="s">
        <v>127</v>
      </c>
      <c r="J15" s="409"/>
      <c r="K15" s="409"/>
      <c r="L15" s="506" t="s">
        <v>128</v>
      </c>
      <c r="M15" s="437" t="s">
        <v>129</v>
      </c>
      <c r="N15" s="438">
        <v>18204920002012</v>
      </c>
      <c r="O15" s="235" t="s">
        <v>130</v>
      </c>
      <c r="P15" s="235" t="s">
        <v>131</v>
      </c>
      <c r="Q15" s="439">
        <v>4822034</v>
      </c>
      <c r="R15" s="235" t="s">
        <v>28</v>
      </c>
      <c r="S15" s="235" t="s">
        <v>124</v>
      </c>
      <c r="T15" s="235" t="s">
        <v>85</v>
      </c>
      <c r="U15" s="253" t="s">
        <v>40</v>
      </c>
    </row>
    <row r="16" spans="1:21" s="255" customFormat="1" ht="20.100000000000001" customHeight="1">
      <c r="A16" s="231" t="s">
        <v>132</v>
      </c>
      <c r="B16" s="449" t="s">
        <v>21</v>
      </c>
      <c r="C16" s="450" t="s">
        <v>133</v>
      </c>
      <c r="D16" s="451">
        <v>45544</v>
      </c>
      <c r="E16" s="451">
        <v>29914</v>
      </c>
      <c r="F16" s="452" t="s">
        <v>134</v>
      </c>
      <c r="G16" s="452">
        <v>60200</v>
      </c>
      <c r="H16" s="452" t="s">
        <v>133</v>
      </c>
      <c r="I16" s="453"/>
      <c r="J16" s="452"/>
      <c r="K16" s="452"/>
      <c r="L16" s="454" t="s">
        <v>135</v>
      </c>
      <c r="M16" s="454"/>
      <c r="N16" s="455"/>
      <c r="O16" s="450" t="s">
        <v>136</v>
      </c>
      <c r="P16" s="450"/>
      <c r="Q16" s="456"/>
      <c r="R16" s="450"/>
      <c r="S16" s="450" t="s">
        <v>133</v>
      </c>
      <c r="T16" s="450"/>
      <c r="U16" s="254"/>
    </row>
    <row r="17" spans="1:21" ht="20.100000000000001" customHeight="1">
      <c r="A17" s="221" t="s">
        <v>137</v>
      </c>
      <c r="B17" s="443" t="s">
        <v>31</v>
      </c>
      <c r="C17" s="235" t="s">
        <v>42</v>
      </c>
      <c r="D17" s="457">
        <v>45593</v>
      </c>
      <c r="E17" s="409">
        <v>35616</v>
      </c>
      <c r="F17" s="420" t="s">
        <v>138</v>
      </c>
      <c r="G17" s="420">
        <v>95370</v>
      </c>
      <c r="H17" s="420" t="s">
        <v>139</v>
      </c>
      <c r="I17" s="458"/>
      <c r="J17" s="420"/>
      <c r="K17" s="420"/>
      <c r="L17" s="441" t="s">
        <v>140</v>
      </c>
      <c r="M17" s="434"/>
      <c r="N17" s="438" t="s">
        <v>141</v>
      </c>
      <c r="O17" s="235" t="s">
        <v>142</v>
      </c>
      <c r="P17" s="235" t="s">
        <v>143</v>
      </c>
      <c r="Q17" s="439"/>
      <c r="R17" s="235" t="s">
        <v>39</v>
      </c>
      <c r="S17" s="235" t="s">
        <v>42</v>
      </c>
      <c r="T17" s="235"/>
      <c r="U17" s="253"/>
    </row>
    <row r="18" spans="1:21" ht="20.100000000000001" customHeight="1">
      <c r="A18" s="221" t="s">
        <v>144</v>
      </c>
      <c r="B18" s="436" t="s">
        <v>21</v>
      </c>
      <c r="C18" s="235" t="s">
        <v>22</v>
      </c>
      <c r="D18" s="409">
        <v>42520</v>
      </c>
      <c r="E18" s="409">
        <v>26248</v>
      </c>
      <c r="F18" s="420" t="s">
        <v>145</v>
      </c>
      <c r="G18" s="420">
        <v>95230</v>
      </c>
      <c r="H18" s="420" t="s">
        <v>146</v>
      </c>
      <c r="I18" s="440"/>
      <c r="J18" s="409"/>
      <c r="K18" s="409"/>
      <c r="L18" s="506" t="s">
        <v>147</v>
      </c>
      <c r="M18" s="434"/>
      <c r="N18" s="438">
        <v>171119935299870</v>
      </c>
      <c r="O18" s="235" t="s">
        <v>148</v>
      </c>
      <c r="P18" s="235" t="s">
        <v>149</v>
      </c>
      <c r="Q18" s="439">
        <v>61195100064</v>
      </c>
      <c r="R18" s="235"/>
      <c r="S18" s="235" t="s">
        <v>22</v>
      </c>
      <c r="T18" s="235" t="s">
        <v>85</v>
      </c>
      <c r="U18" s="253" t="s">
        <v>40</v>
      </c>
    </row>
    <row r="19" spans="1:21" ht="20.100000000000001" customHeight="1">
      <c r="A19" s="221" t="s">
        <v>150</v>
      </c>
      <c r="B19" s="436" t="s">
        <v>21</v>
      </c>
      <c r="C19" s="235" t="s">
        <v>42</v>
      </c>
      <c r="D19" s="409">
        <v>43892</v>
      </c>
      <c r="E19" s="409">
        <v>27125</v>
      </c>
      <c r="F19" s="420" t="s">
        <v>151</v>
      </c>
      <c r="G19" s="420">
        <v>95130</v>
      </c>
      <c r="H19" s="420" t="s">
        <v>152</v>
      </c>
      <c r="I19" s="440" t="s">
        <v>153</v>
      </c>
      <c r="J19" s="409"/>
      <c r="K19" s="409"/>
      <c r="L19" s="506" t="s">
        <v>154</v>
      </c>
      <c r="M19" s="459" t="s">
        <v>155</v>
      </c>
      <c r="N19" s="438">
        <v>174049935070171</v>
      </c>
      <c r="O19" s="235" t="s">
        <v>156</v>
      </c>
      <c r="P19" s="235" t="s">
        <v>157</v>
      </c>
      <c r="Q19" s="439">
        <v>61195100064</v>
      </c>
      <c r="R19" s="235" t="s">
        <v>28</v>
      </c>
      <c r="S19" s="235" t="s">
        <v>42</v>
      </c>
      <c r="T19" s="235" t="s">
        <v>85</v>
      </c>
      <c r="U19" s="253" t="s">
        <v>40</v>
      </c>
    </row>
    <row r="20" spans="1:21" ht="20.100000000000001" customHeight="1">
      <c r="A20" s="221" t="s">
        <v>158</v>
      </c>
      <c r="B20" s="460" t="s">
        <v>76</v>
      </c>
      <c r="C20" s="235" t="s">
        <v>42</v>
      </c>
      <c r="D20" s="461">
        <v>45963</v>
      </c>
      <c r="E20" s="409">
        <v>30915</v>
      </c>
      <c r="F20" s="420" t="s">
        <v>159</v>
      </c>
      <c r="G20" s="420">
        <v>78500</v>
      </c>
      <c r="H20" s="420" t="s">
        <v>160</v>
      </c>
      <c r="I20" s="440"/>
      <c r="J20" s="409"/>
      <c r="K20" s="409"/>
      <c r="L20" s="441">
        <v>651153653</v>
      </c>
      <c r="M20" s="434" t="s">
        <v>70</v>
      </c>
      <c r="N20" s="438">
        <v>184089938013785</v>
      </c>
      <c r="O20" s="235" t="s">
        <v>161</v>
      </c>
      <c r="P20" s="235" t="s">
        <v>162</v>
      </c>
      <c r="Q20" s="439">
        <v>241278401913</v>
      </c>
      <c r="R20" s="235" t="s">
        <v>163</v>
      </c>
      <c r="S20" s="235" t="s">
        <v>42</v>
      </c>
      <c r="T20" s="235"/>
      <c r="U20" s="253" t="s">
        <v>164</v>
      </c>
    </row>
    <row r="21" spans="1:21" ht="20.100000000000001" customHeight="1">
      <c r="A21" s="221" t="s">
        <v>165</v>
      </c>
      <c r="B21" s="443" t="s">
        <v>76</v>
      </c>
      <c r="C21" s="235" t="s">
        <v>166</v>
      </c>
      <c r="D21" s="409" t="s">
        <v>167</v>
      </c>
      <c r="E21" s="409">
        <v>35453</v>
      </c>
      <c r="F21" s="420" t="s">
        <v>168</v>
      </c>
      <c r="G21" s="420">
        <v>95100</v>
      </c>
      <c r="H21" s="420" t="s">
        <v>139</v>
      </c>
      <c r="I21" s="462" t="s">
        <v>169</v>
      </c>
      <c r="J21" s="409"/>
      <c r="K21" s="409"/>
      <c r="L21" s="506" t="s">
        <v>170</v>
      </c>
      <c r="M21" s="437" t="s">
        <v>171</v>
      </c>
      <c r="N21" s="438">
        <v>197017511279294</v>
      </c>
      <c r="O21" s="235" t="s">
        <v>172</v>
      </c>
      <c r="P21" s="235" t="s">
        <v>173</v>
      </c>
      <c r="Q21" s="439">
        <v>141295300398</v>
      </c>
      <c r="R21" s="235" t="s">
        <v>28</v>
      </c>
      <c r="S21" s="235" t="s">
        <v>166</v>
      </c>
      <c r="T21" s="235" t="s">
        <v>85</v>
      </c>
      <c r="U21" s="253" t="s">
        <v>40</v>
      </c>
    </row>
    <row r="22" spans="1:21" ht="20.100000000000001" customHeight="1">
      <c r="A22" s="221" t="s">
        <v>174</v>
      </c>
      <c r="B22" s="443" t="s">
        <v>76</v>
      </c>
      <c r="C22" s="235"/>
      <c r="D22" s="235"/>
      <c r="E22" s="502"/>
      <c r="F22" s="420" t="s">
        <v>175</v>
      </c>
      <c r="G22" s="420">
        <v>92700</v>
      </c>
      <c r="H22" s="420" t="s">
        <v>53</v>
      </c>
      <c r="I22" s="502"/>
      <c r="J22" s="502"/>
      <c r="K22" s="502"/>
      <c r="L22" s="506">
        <v>622666348</v>
      </c>
      <c r="M22" s="234" t="s">
        <v>176</v>
      </c>
      <c r="N22" s="506"/>
      <c r="O22" s="235"/>
      <c r="P22" s="235"/>
      <c r="Q22" s="235"/>
      <c r="R22" s="235"/>
      <c r="S22" s="235"/>
      <c r="T22" s="235"/>
      <c r="U22" s="235"/>
    </row>
    <row r="23" spans="1:21" ht="20.100000000000001" customHeight="1">
      <c r="A23" s="221" t="s">
        <v>177</v>
      </c>
      <c r="B23" s="443" t="s">
        <v>76</v>
      </c>
      <c r="C23" s="235"/>
      <c r="D23" s="409"/>
      <c r="E23" s="410"/>
      <c r="F23" s="420"/>
      <c r="G23" s="420"/>
      <c r="H23" s="420"/>
      <c r="I23" s="502"/>
      <c r="J23" s="502"/>
      <c r="K23" s="506"/>
      <c r="L23" s="506"/>
      <c r="M23" s="506"/>
      <c r="N23" s="235"/>
      <c r="O23" s="235"/>
      <c r="P23" s="235"/>
      <c r="Q23" s="235"/>
      <c r="R23" s="235"/>
      <c r="S23" s="235"/>
      <c r="T23" s="235"/>
      <c r="U23" s="235"/>
    </row>
    <row r="24" spans="1:21" ht="20.100000000000001" customHeight="1">
      <c r="A24" s="221" t="s">
        <v>178</v>
      </c>
      <c r="B24" s="436" t="s">
        <v>21</v>
      </c>
      <c r="C24" s="235"/>
      <c r="D24" s="409">
        <v>46031</v>
      </c>
      <c r="E24" s="410"/>
      <c r="F24" s="420" t="s">
        <v>179</v>
      </c>
      <c r="G24" s="420">
        <v>92390</v>
      </c>
      <c r="H24" s="420" t="s">
        <v>180</v>
      </c>
      <c r="I24" s="502"/>
      <c r="J24" s="502"/>
      <c r="K24" s="506"/>
      <c r="L24" s="506"/>
      <c r="M24" s="506"/>
      <c r="N24" s="235"/>
      <c r="O24" s="235"/>
      <c r="P24" s="235"/>
      <c r="Q24" s="235"/>
      <c r="R24" s="235"/>
      <c r="S24" s="235"/>
      <c r="T24" s="235"/>
      <c r="U24" s="235"/>
    </row>
    <row r="25" spans="1:21">
      <c r="D25" s="501"/>
      <c r="E25" s="501"/>
      <c r="F25" s="501"/>
      <c r="G25" s="501"/>
      <c r="H25" s="501"/>
      <c r="I25" s="501"/>
      <c r="J25" s="421" t="s">
        <v>26</v>
      </c>
      <c r="K25" s="256"/>
      <c r="N25" s="225"/>
    </row>
    <row r="26" spans="1:21">
      <c r="D26" s="501"/>
      <c r="E26" s="501"/>
      <c r="F26" s="501"/>
      <c r="G26" s="501"/>
      <c r="H26" s="501"/>
      <c r="I26" s="501"/>
      <c r="J26" s="411" t="s">
        <v>181</v>
      </c>
      <c r="K26" s="256"/>
      <c r="N26" s="225"/>
    </row>
    <row r="27" spans="1:21" ht="18" customHeight="1">
      <c r="D27" s="501"/>
      <c r="E27" s="501"/>
      <c r="F27" s="501"/>
      <c r="G27" s="501"/>
      <c r="H27" s="501"/>
      <c r="I27" s="501"/>
      <c r="J27" s="412" t="s">
        <v>182</v>
      </c>
      <c r="K27" s="256"/>
      <c r="N27" s="225"/>
    </row>
    <row r="28" spans="1:21">
      <c r="D28" s="501"/>
      <c r="E28" s="501"/>
      <c r="F28" s="501"/>
      <c r="G28" s="501"/>
      <c r="H28" s="501"/>
      <c r="I28" s="419"/>
      <c r="J28" s="567" t="s">
        <v>183</v>
      </c>
      <c r="K28" s="256"/>
      <c r="N28" s="225"/>
    </row>
    <row r="29" spans="1:21">
      <c r="D29" s="501"/>
      <c r="E29" s="501"/>
      <c r="F29" s="501"/>
      <c r="G29" s="501"/>
      <c r="H29" s="501"/>
      <c r="I29" s="419"/>
      <c r="J29" s="413" t="s">
        <v>184</v>
      </c>
      <c r="K29" s="256"/>
      <c r="N29" s="225"/>
    </row>
    <row r="30" spans="1:21" ht="30">
      <c r="D30" s="501"/>
      <c r="E30" s="501"/>
      <c r="F30" s="501"/>
      <c r="G30" s="501"/>
      <c r="H30" s="501"/>
      <c r="I30" s="419"/>
      <c r="J30" s="414" t="s">
        <v>185</v>
      </c>
      <c r="K30" s="256"/>
      <c r="N30" s="225"/>
    </row>
    <row r="31" spans="1:21" ht="30">
      <c r="D31" s="501"/>
      <c r="E31" s="501"/>
      <c r="F31" s="501"/>
      <c r="G31" s="501"/>
      <c r="H31" s="501"/>
      <c r="I31" s="419"/>
      <c r="J31" s="414" t="s">
        <v>186</v>
      </c>
      <c r="K31" s="256"/>
      <c r="N31" s="225"/>
    </row>
    <row r="32" spans="1:21">
      <c r="D32" s="501"/>
      <c r="E32" s="501"/>
      <c r="F32" s="501"/>
      <c r="G32" s="501"/>
      <c r="H32" s="501"/>
      <c r="I32" s="419"/>
      <c r="J32" s="414" t="s">
        <v>187</v>
      </c>
      <c r="K32" s="256"/>
      <c r="N32" s="225"/>
    </row>
    <row r="33" spans="4:14" ht="30">
      <c r="D33" s="501"/>
      <c r="E33" s="501"/>
      <c r="F33" s="501"/>
      <c r="G33" s="501"/>
      <c r="H33" s="501"/>
      <c r="I33" s="419"/>
      <c r="J33" s="414" t="s">
        <v>188</v>
      </c>
      <c r="K33" s="256"/>
      <c r="N33" s="225"/>
    </row>
    <row r="34" spans="4:14" ht="30">
      <c r="D34" s="501"/>
      <c r="E34" s="501"/>
      <c r="F34" s="501"/>
      <c r="G34" s="501"/>
      <c r="H34" s="501"/>
      <c r="I34" s="419"/>
      <c r="J34" s="414" t="s">
        <v>189</v>
      </c>
      <c r="K34" s="256"/>
      <c r="N34" s="225"/>
    </row>
    <row r="35" spans="4:14">
      <c r="D35" s="501"/>
      <c r="E35" s="501"/>
      <c r="F35" s="501"/>
      <c r="G35" s="501"/>
      <c r="H35" s="501"/>
      <c r="I35" s="419"/>
      <c r="J35" s="415" t="s">
        <v>190</v>
      </c>
      <c r="K35" s="256"/>
      <c r="N35" s="225"/>
    </row>
    <row r="36" spans="4:14">
      <c r="D36" s="501"/>
      <c r="E36" s="501"/>
      <c r="F36" s="501"/>
      <c r="G36" s="501"/>
      <c r="H36" s="501"/>
      <c r="I36" s="419"/>
      <c r="J36" s="415" t="s">
        <v>121</v>
      </c>
      <c r="K36" s="256"/>
      <c r="N36" s="225"/>
    </row>
    <row r="37" spans="4:14" ht="30">
      <c r="D37" s="501"/>
      <c r="E37" s="501"/>
      <c r="F37" s="501"/>
      <c r="G37" s="501"/>
      <c r="H37" s="501"/>
      <c r="I37" s="419"/>
      <c r="J37" s="414" t="s">
        <v>191</v>
      </c>
      <c r="K37" s="256"/>
      <c r="N37" s="225"/>
    </row>
    <row r="38" spans="4:14" ht="30">
      <c r="D38" s="501"/>
      <c r="E38" s="501"/>
      <c r="F38" s="501"/>
      <c r="G38" s="501"/>
      <c r="H38" s="501"/>
      <c r="I38" s="419"/>
      <c r="J38" s="414" t="s">
        <v>192</v>
      </c>
      <c r="K38" s="256"/>
      <c r="N38" s="225"/>
    </row>
    <row r="39" spans="4:14">
      <c r="D39" s="501"/>
      <c r="E39" s="501"/>
      <c r="F39" s="501"/>
      <c r="G39" s="501"/>
      <c r="H39" s="501"/>
      <c r="I39" s="419"/>
      <c r="J39" s="415" t="s">
        <v>193</v>
      </c>
      <c r="K39" s="256"/>
      <c r="N39" s="225"/>
    </row>
    <row r="40" spans="4:14" ht="30">
      <c r="D40" s="501"/>
      <c r="E40" s="501"/>
      <c r="F40" s="501"/>
      <c r="G40" s="501"/>
      <c r="H40" s="501"/>
      <c r="I40" s="419"/>
      <c r="J40" s="414" t="s">
        <v>194</v>
      </c>
      <c r="K40" s="256"/>
      <c r="N40" s="225"/>
    </row>
    <row r="41" spans="4:14">
      <c r="D41" s="501"/>
      <c r="E41" s="501"/>
      <c r="F41" s="501"/>
      <c r="G41" s="501"/>
      <c r="H41" s="501"/>
      <c r="I41" s="419"/>
      <c r="J41" s="414" t="s">
        <v>195</v>
      </c>
      <c r="K41" s="256"/>
      <c r="N41" s="225"/>
    </row>
    <row r="42" spans="4:14" ht="30">
      <c r="D42" s="501"/>
      <c r="E42" s="501"/>
      <c r="F42" s="501"/>
      <c r="G42" s="501"/>
      <c r="H42" s="501"/>
      <c r="I42" s="419"/>
      <c r="J42" s="414" t="s">
        <v>196</v>
      </c>
      <c r="K42" s="256"/>
      <c r="N42" s="225"/>
    </row>
    <row r="43" spans="4:14" ht="30">
      <c r="D43" s="501"/>
      <c r="E43" s="501"/>
      <c r="F43" s="501"/>
      <c r="G43" s="501"/>
      <c r="H43" s="501"/>
      <c r="I43" s="419"/>
      <c r="J43" s="414" t="s">
        <v>197</v>
      </c>
      <c r="K43" s="256"/>
      <c r="N43" s="225"/>
    </row>
    <row r="44" spans="4:14">
      <c r="D44" s="501"/>
      <c r="E44" s="501"/>
      <c r="F44" s="501"/>
      <c r="G44" s="501"/>
      <c r="H44" s="501"/>
      <c r="I44" s="419"/>
      <c r="J44" s="416" t="s">
        <v>198</v>
      </c>
      <c r="K44" s="256"/>
      <c r="N44" s="225"/>
    </row>
    <row r="45" spans="4:14">
      <c r="D45" s="501"/>
      <c r="E45" s="501"/>
      <c r="F45" s="501"/>
      <c r="G45" s="501"/>
      <c r="H45" s="501"/>
      <c r="I45" s="419"/>
      <c r="J45" s="113" t="s">
        <v>199</v>
      </c>
      <c r="K45" s="256"/>
      <c r="N45" s="225"/>
    </row>
    <row r="46" spans="4:14">
      <c r="D46" s="501"/>
      <c r="E46" s="501"/>
      <c r="F46" s="501"/>
      <c r="G46" s="501"/>
      <c r="H46" s="501"/>
      <c r="I46" s="419"/>
      <c r="J46" s="417" t="s">
        <v>200</v>
      </c>
      <c r="K46" s="256"/>
      <c r="N46" s="225"/>
    </row>
    <row r="47" spans="4:14">
      <c r="D47" s="501"/>
      <c r="E47" s="501"/>
      <c r="F47" s="501"/>
      <c r="G47" s="501"/>
      <c r="H47" s="501"/>
      <c r="I47" s="501"/>
      <c r="J47" s="418" t="s">
        <v>201</v>
      </c>
      <c r="K47" s="256"/>
      <c r="N47" s="225"/>
    </row>
    <row r="48" spans="4:14">
      <c r="D48" s="501"/>
      <c r="E48" s="501"/>
      <c r="F48" s="501"/>
      <c r="G48" s="501"/>
      <c r="H48" s="501"/>
      <c r="I48" s="501"/>
      <c r="J48" s="501"/>
      <c r="K48" s="256"/>
      <c r="N48" s="225"/>
    </row>
    <row r="49" spans="4:14">
      <c r="D49" s="501"/>
      <c r="E49" s="501"/>
      <c r="F49" s="501"/>
      <c r="G49" s="501"/>
      <c r="H49" s="501"/>
      <c r="I49" s="501"/>
      <c r="J49" s="501"/>
      <c r="K49" s="256"/>
      <c r="N49" s="225"/>
    </row>
    <row r="50" spans="4:14">
      <c r="D50" s="501"/>
      <c r="E50" s="501"/>
      <c r="F50" s="501"/>
      <c r="G50" s="501"/>
      <c r="H50" s="501"/>
      <c r="I50" s="501"/>
      <c r="J50" s="501"/>
      <c r="K50" s="256"/>
      <c r="N50" s="225"/>
    </row>
  </sheetData>
  <sheetProtection selectLockedCells="1" selectUnlockedCells="1"/>
  <autoFilter ref="A1:U21" xr:uid="{D0AC3415-D77C-4FB4-8212-BCC0CAABBE6E}"/>
  <hyperlinks>
    <hyperlink ref="M10" r:id="rId1" xr:uid="{42B8CF15-BFC2-4756-B09C-40E9EADB1902}"/>
    <hyperlink ref="M6" r:id="rId2" xr:uid="{4CF2914F-BAF8-4935-AC8E-3EAE2AFBF277}"/>
    <hyperlink ref="M19" r:id="rId3" xr:uid="{C41E8BEA-1BAF-4B57-8180-8A33E7A2B927}"/>
    <hyperlink ref="M21" r:id="rId4" xr:uid="{15B1B950-185D-4D37-97F6-2B0C5F3DCC0C}"/>
    <hyperlink ref="M15" r:id="rId5" xr:uid="{1E8F5887-4059-4D44-98F6-A835B4D55D36}"/>
    <hyperlink ref="M5" r:id="rId6" xr:uid="{BC318060-6473-4C0C-A222-82ACFD42C741}"/>
    <hyperlink ref="M12" r:id="rId7" xr:uid="{7633F78B-56C2-459E-899C-425AC47FADFE}"/>
    <hyperlink ref="M9" r:id="rId8" xr:uid="{56864EDB-F6FD-449A-B777-1EF334B43556}"/>
    <hyperlink ref="M22" r:id="rId9" xr:uid="{6F4E1E4D-0105-489F-A2FC-3443FCC91EC4}"/>
    <hyperlink ref="M14" r:id="rId10" xr:uid="{F352873C-977E-4AF8-8E69-4F10F40D3E6F}"/>
  </hyperlinks>
  <pageMargins left="0.25" right="0.25" top="0.75" bottom="0.75" header="0.3" footer="0.3"/>
  <pageSetup paperSize="9" orientation="landscape" horizontalDpi="360" verticalDpi="36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E9145-C25A-4CF6-9606-2DEBAD7060CF}">
  <sheetPr>
    <tabColor theme="1"/>
  </sheetPr>
  <dimension ref="A1:E22"/>
  <sheetViews>
    <sheetView topLeftCell="A3" workbookViewId="0">
      <selection activeCell="E7" sqref="E7"/>
    </sheetView>
  </sheetViews>
  <sheetFormatPr defaultColWidth="11.42578125" defaultRowHeight="15"/>
  <cols>
    <col min="1" max="1" width="19.42578125" customWidth="1"/>
    <col min="2" max="2" width="19" customWidth="1"/>
    <col min="3" max="3" width="17" customWidth="1"/>
    <col min="4" max="4" width="30.28515625" bestFit="1" customWidth="1"/>
    <col min="5" max="5" width="42.140625" customWidth="1"/>
    <col min="6" max="6" width="2.42578125" customWidth="1"/>
  </cols>
  <sheetData>
    <row r="1" spans="1:5" s="15" customFormat="1" ht="19.5" thickBot="1">
      <c r="A1" s="261" t="s">
        <v>202</v>
      </c>
      <c r="B1" s="261" t="s">
        <v>203</v>
      </c>
      <c r="C1" s="261" t="s">
        <v>204</v>
      </c>
      <c r="D1" s="510" t="s">
        <v>205</v>
      </c>
      <c r="E1" s="511"/>
    </row>
    <row r="2" spans="1:5" ht="30" customHeight="1" thickBot="1">
      <c r="A2" s="262">
        <v>45932</v>
      </c>
      <c r="B2" s="263" t="s">
        <v>206</v>
      </c>
      <c r="C2" s="264" t="s">
        <v>207</v>
      </c>
      <c r="D2" s="265" t="s">
        <v>208</v>
      </c>
      <c r="E2" s="266" t="s">
        <v>209</v>
      </c>
    </row>
    <row r="3" spans="1:5" ht="127.5" customHeight="1" thickBot="1">
      <c r="A3" s="262">
        <v>45933</v>
      </c>
      <c r="B3" s="267" t="s">
        <v>42</v>
      </c>
      <c r="C3" s="264" t="s">
        <v>210</v>
      </c>
      <c r="D3" s="508" t="s">
        <v>211</v>
      </c>
      <c r="E3" s="508"/>
    </row>
    <row r="4" spans="1:5" ht="160.5" customHeight="1" thickBot="1">
      <c r="A4" s="262">
        <v>46004</v>
      </c>
      <c r="B4" s="267" t="s">
        <v>212</v>
      </c>
      <c r="C4" s="268" t="s">
        <v>213</v>
      </c>
      <c r="D4" s="509" t="s">
        <v>214</v>
      </c>
      <c r="E4" s="509"/>
    </row>
    <row r="5" spans="1:5" ht="61.5" customHeight="1" thickBot="1">
      <c r="A5" s="262">
        <v>46021</v>
      </c>
      <c r="B5" s="267" t="s">
        <v>42</v>
      </c>
      <c r="C5" s="264" t="s">
        <v>210</v>
      </c>
      <c r="D5" s="509" t="s">
        <v>215</v>
      </c>
      <c r="E5" s="509"/>
    </row>
    <row r="6" spans="1:5" ht="30" customHeight="1">
      <c r="A6" s="505"/>
      <c r="B6" s="35"/>
      <c r="C6" s="35"/>
      <c r="D6" s="259"/>
      <c r="E6" s="260"/>
    </row>
    <row r="7" spans="1:5" ht="30" customHeight="1">
      <c r="A7" s="505"/>
      <c r="B7" s="35"/>
      <c r="C7" s="35"/>
      <c r="D7" s="259"/>
      <c r="E7" s="260"/>
    </row>
    <row r="8" spans="1:5" ht="30" customHeight="1">
      <c r="A8" s="505"/>
      <c r="B8" s="35"/>
      <c r="C8" s="35"/>
      <c r="D8" s="259"/>
      <c r="E8" s="260"/>
    </row>
    <row r="9" spans="1:5" ht="30" customHeight="1">
      <c r="A9" s="505"/>
      <c r="B9" s="35"/>
      <c r="C9" s="35"/>
      <c r="D9" s="259"/>
      <c r="E9" s="260"/>
    </row>
    <row r="10" spans="1:5" ht="30" customHeight="1">
      <c r="A10" s="505"/>
      <c r="B10" s="35"/>
      <c r="C10" s="35"/>
      <c r="D10" s="259"/>
      <c r="E10" s="260"/>
    </row>
    <row r="11" spans="1:5" ht="30" customHeight="1">
      <c r="A11" s="505"/>
      <c r="B11" s="35"/>
      <c r="C11" s="35"/>
      <c r="D11" s="259"/>
      <c r="E11" s="260"/>
    </row>
    <row r="12" spans="1:5" ht="30" customHeight="1">
      <c r="A12" s="505"/>
      <c r="B12" s="35"/>
      <c r="C12" s="35"/>
      <c r="D12" s="259"/>
      <c r="E12" s="260"/>
    </row>
    <row r="13" spans="1:5" ht="30" customHeight="1">
      <c r="A13" s="505"/>
      <c r="B13" s="35"/>
      <c r="C13" s="35"/>
      <c r="D13" s="259"/>
      <c r="E13" s="260"/>
    </row>
    <row r="14" spans="1:5" ht="30" customHeight="1">
      <c r="A14" s="505"/>
      <c r="B14" s="35"/>
      <c r="C14" s="35"/>
      <c r="D14" s="259"/>
      <c r="E14" s="260"/>
    </row>
    <row r="15" spans="1:5" ht="30" customHeight="1">
      <c r="A15" s="505"/>
      <c r="B15" s="35"/>
      <c r="C15" s="35"/>
      <c r="D15" s="259"/>
      <c r="E15" s="260"/>
    </row>
    <row r="16" spans="1:5" ht="30" customHeight="1">
      <c r="A16" s="505"/>
      <c r="B16" s="35"/>
      <c r="C16" s="35"/>
      <c r="D16" s="259"/>
      <c r="E16" s="260"/>
    </row>
    <row r="17" spans="1:5" ht="30" customHeight="1">
      <c r="A17" s="505"/>
      <c r="B17" s="35"/>
      <c r="C17" s="35"/>
      <c r="D17" s="259"/>
      <c r="E17" s="260"/>
    </row>
    <row r="18" spans="1:5" ht="30" customHeight="1">
      <c r="A18" s="505"/>
      <c r="B18" s="35"/>
      <c r="C18" s="35"/>
      <c r="D18" s="259"/>
      <c r="E18" s="260"/>
    </row>
    <row r="19" spans="1:5" ht="30" customHeight="1">
      <c r="A19" s="505"/>
      <c r="B19" s="35"/>
      <c r="C19" s="35"/>
      <c r="D19" s="259"/>
      <c r="E19" s="260"/>
    </row>
    <row r="20" spans="1:5" ht="30" customHeight="1">
      <c r="A20" s="505"/>
      <c r="B20" s="35"/>
      <c r="C20" s="35"/>
      <c r="D20" s="259"/>
      <c r="E20" s="260"/>
    </row>
    <row r="21" spans="1:5" ht="30" customHeight="1">
      <c r="A21" s="505"/>
      <c r="B21" s="35"/>
      <c r="C21" s="35"/>
      <c r="D21" s="259"/>
      <c r="E21" s="260"/>
    </row>
    <row r="22" spans="1:5" ht="30" customHeight="1">
      <c r="A22" s="505"/>
      <c r="B22" s="35"/>
      <c r="C22" s="35"/>
      <c r="D22" s="259"/>
      <c r="E22" s="260"/>
    </row>
  </sheetData>
  <mergeCells count="4">
    <mergeCell ref="D3:E3"/>
    <mergeCell ref="D5:E5"/>
    <mergeCell ref="D4:E4"/>
    <mergeCell ref="D1:E1"/>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069E-E66A-4DB1-B905-C0EA3F52822A}">
  <sheetPr>
    <tabColor theme="9" tint="0.39997558519241921"/>
    <pageSetUpPr fitToPage="1"/>
  </sheetPr>
  <dimension ref="A1:U36"/>
  <sheetViews>
    <sheetView zoomScale="85" zoomScaleNormal="85" workbookViewId="0">
      <selection activeCell="F15" sqref="F15"/>
    </sheetView>
  </sheetViews>
  <sheetFormatPr defaultColWidth="11.42578125" defaultRowHeight="15"/>
  <cols>
    <col min="1" max="2" width="21.85546875" customWidth="1"/>
    <col min="3" max="4" width="18.140625" customWidth="1"/>
    <col min="5" max="5" width="14.28515625" style="15" customWidth="1"/>
    <col min="6" max="6" width="17" customWidth="1"/>
    <col min="7" max="7" width="12.42578125" customWidth="1"/>
    <col min="8" max="8" width="11.85546875" customWidth="1"/>
    <col min="9" max="9" width="12.42578125" bestFit="1" customWidth="1"/>
    <col min="10" max="10" width="15.140625" customWidth="1"/>
    <col min="11" max="11" width="14" bestFit="1" customWidth="1"/>
    <col min="13" max="13" width="16.42578125" bestFit="1" customWidth="1"/>
    <col min="14" max="14" width="16.42578125" customWidth="1"/>
    <col min="15" max="16" width="19.28515625" customWidth="1"/>
    <col min="17" max="17" width="22.42578125" bestFit="1" customWidth="1"/>
    <col min="18" max="18" width="12.7109375" bestFit="1" customWidth="1"/>
    <col min="19" max="20" width="12.7109375" customWidth="1"/>
    <col min="21" max="21" width="14" bestFit="1" customWidth="1"/>
  </cols>
  <sheetData>
    <row r="1" spans="1:21" ht="33" thickBot="1">
      <c r="A1" s="96" t="s">
        <v>216</v>
      </c>
      <c r="B1" s="96"/>
      <c r="C1" s="97"/>
      <c r="D1" s="97"/>
      <c r="E1" s="98"/>
      <c r="M1" s="96" t="s">
        <v>217</v>
      </c>
      <c r="N1" s="96"/>
    </row>
    <row r="2" spans="1:21" ht="69.75" thickBot="1">
      <c r="A2" s="59" t="s">
        <v>0</v>
      </c>
      <c r="B2" s="134" t="s">
        <v>218</v>
      </c>
      <c r="C2" s="58" t="s">
        <v>3</v>
      </c>
      <c r="D2" s="58" t="s">
        <v>219</v>
      </c>
      <c r="E2" s="134" t="s">
        <v>4</v>
      </c>
      <c r="F2" s="135" t="s">
        <v>220</v>
      </c>
      <c r="G2" s="95" t="s">
        <v>221</v>
      </c>
      <c r="H2" s="127" t="s">
        <v>222</v>
      </c>
      <c r="I2" s="211" t="s">
        <v>223</v>
      </c>
      <c r="J2" s="212" t="s">
        <v>224</v>
      </c>
      <c r="M2" s="59" t="s">
        <v>225</v>
      </c>
      <c r="N2" s="59" t="s">
        <v>226</v>
      </c>
      <c r="O2" s="58" t="s">
        <v>3</v>
      </c>
      <c r="P2" s="203" t="s">
        <v>227</v>
      </c>
      <c r="Q2" s="92" t="s">
        <v>4</v>
      </c>
      <c r="R2" s="95" t="s">
        <v>228</v>
      </c>
      <c r="S2" s="95" t="s">
        <v>229</v>
      </c>
      <c r="T2" s="130" t="s">
        <v>230</v>
      </c>
      <c r="U2" s="126" t="s">
        <v>231</v>
      </c>
    </row>
    <row r="3" spans="1:21">
      <c r="A3" s="70" t="s">
        <v>20</v>
      </c>
      <c r="B3" s="201"/>
      <c r="C3" s="71">
        <v>43408</v>
      </c>
      <c r="D3" s="71"/>
      <c r="E3" s="71">
        <v>30705</v>
      </c>
      <c r="F3" s="72" t="s">
        <v>27</v>
      </c>
      <c r="G3" s="69"/>
      <c r="H3" s="206"/>
      <c r="I3" s="99"/>
      <c r="J3" s="93"/>
      <c r="M3" s="101" t="s">
        <v>232</v>
      </c>
      <c r="N3" s="202"/>
      <c r="O3" s="102">
        <v>45701</v>
      </c>
      <c r="P3" s="102"/>
      <c r="Q3" s="102">
        <v>31686</v>
      </c>
      <c r="R3" s="103"/>
      <c r="S3" s="103"/>
      <c r="T3" s="103"/>
      <c r="U3" s="103"/>
    </row>
    <row r="4" spans="1:21">
      <c r="A4" s="70" t="s">
        <v>30</v>
      </c>
      <c r="B4" s="70"/>
      <c r="C4" s="73"/>
      <c r="D4" s="73"/>
      <c r="E4" s="74"/>
      <c r="F4" s="72" t="s">
        <v>38</v>
      </c>
      <c r="G4" s="35"/>
      <c r="H4" s="207"/>
      <c r="I4" s="100"/>
      <c r="J4" s="84"/>
      <c r="M4" s="101" t="s">
        <v>233</v>
      </c>
      <c r="N4" s="202"/>
      <c r="O4" s="102">
        <v>45794</v>
      </c>
      <c r="P4" s="102"/>
      <c r="Q4" s="107">
        <v>36293</v>
      </c>
      <c r="R4" s="132" t="s">
        <v>234</v>
      </c>
      <c r="S4" s="104"/>
      <c r="T4" s="104"/>
      <c r="U4" s="104"/>
    </row>
    <row r="5" spans="1:21">
      <c r="A5" s="70" t="s">
        <v>41</v>
      </c>
      <c r="B5" s="70"/>
      <c r="C5" s="74"/>
      <c r="D5" s="74"/>
      <c r="E5" s="75">
        <v>31300</v>
      </c>
      <c r="F5" s="72" t="s">
        <v>48</v>
      </c>
      <c r="G5" s="209" t="s">
        <v>235</v>
      </c>
      <c r="H5" s="207"/>
      <c r="I5" s="131" t="s">
        <v>40</v>
      </c>
      <c r="J5" s="35"/>
      <c r="M5" s="101"/>
      <c r="N5" s="101"/>
      <c r="O5" s="106"/>
      <c r="P5" s="106"/>
      <c r="Q5" s="107"/>
      <c r="R5" s="104"/>
      <c r="S5" s="104"/>
      <c r="T5" s="104"/>
      <c r="U5" s="104"/>
    </row>
    <row r="6" spans="1:21">
      <c r="A6" s="52" t="s">
        <v>236</v>
      </c>
      <c r="B6" s="52"/>
      <c r="C6" s="55"/>
      <c r="D6" s="55"/>
      <c r="E6" s="56">
        <v>29451</v>
      </c>
      <c r="F6" s="48" t="s">
        <v>237</v>
      </c>
      <c r="G6" s="209" t="s">
        <v>238</v>
      </c>
      <c r="H6" s="207"/>
      <c r="I6" s="131" t="s">
        <v>40</v>
      </c>
      <c r="J6" s="35"/>
      <c r="M6" s="101"/>
      <c r="N6" s="101"/>
      <c r="O6" s="106"/>
      <c r="P6" s="106"/>
      <c r="Q6" s="107"/>
      <c r="R6" s="104"/>
      <c r="S6" s="104"/>
      <c r="T6" s="104"/>
      <c r="U6" s="104"/>
    </row>
    <row r="7" spans="1:21">
      <c r="A7" s="52" t="s">
        <v>50</v>
      </c>
      <c r="B7" s="52"/>
      <c r="C7" s="56">
        <v>44411</v>
      </c>
      <c r="D7" s="56"/>
      <c r="E7" s="56">
        <v>29928</v>
      </c>
      <c r="F7" s="48" t="s">
        <v>58</v>
      </c>
      <c r="G7" s="209"/>
      <c r="H7" s="207"/>
      <c r="I7" s="131" t="s">
        <v>40</v>
      </c>
      <c r="J7" s="35"/>
      <c r="M7" s="101"/>
      <c r="N7" s="101"/>
      <c r="O7" s="107"/>
      <c r="P7" s="107"/>
      <c r="Q7" s="107"/>
      <c r="R7" s="104"/>
      <c r="S7" s="104"/>
      <c r="T7" s="104"/>
      <c r="U7" s="104"/>
    </row>
    <row r="8" spans="1:21">
      <c r="A8" s="52" t="s">
        <v>59</v>
      </c>
      <c r="B8" s="52"/>
      <c r="C8" s="56">
        <v>32389</v>
      </c>
      <c r="D8" s="56"/>
      <c r="E8" s="56">
        <v>32389</v>
      </c>
      <c r="F8" s="85" t="s">
        <v>66</v>
      </c>
      <c r="G8" s="209" t="s">
        <v>239</v>
      </c>
      <c r="H8" s="207"/>
      <c r="I8" s="131" t="s">
        <v>40</v>
      </c>
      <c r="J8" s="35"/>
      <c r="M8" s="101"/>
      <c r="N8" s="101"/>
      <c r="O8" s="107"/>
      <c r="P8" s="107"/>
      <c r="Q8" s="107"/>
      <c r="R8" s="104"/>
      <c r="S8" s="104"/>
      <c r="T8" s="104"/>
      <c r="U8" s="104"/>
    </row>
    <row r="9" spans="1:21">
      <c r="A9" s="52" t="s">
        <v>240</v>
      </c>
      <c r="B9" s="52"/>
      <c r="C9" s="56">
        <v>44721</v>
      </c>
      <c r="D9" s="80"/>
      <c r="E9" s="80">
        <v>33963</v>
      </c>
      <c r="F9" s="86"/>
      <c r="G9" s="209"/>
      <c r="H9" s="207"/>
      <c r="I9" s="131" t="s">
        <v>40</v>
      </c>
      <c r="J9" s="35"/>
      <c r="M9" s="101"/>
      <c r="N9" s="101"/>
      <c r="O9" s="107"/>
      <c r="P9" s="102"/>
      <c r="Q9" s="102"/>
      <c r="R9" s="104"/>
      <c r="S9" s="104"/>
      <c r="T9" s="104"/>
      <c r="U9" s="104"/>
    </row>
    <row r="10" spans="1:21">
      <c r="A10" s="52" t="s">
        <v>75</v>
      </c>
      <c r="B10" s="52"/>
      <c r="C10" s="56">
        <v>45079</v>
      </c>
      <c r="D10" s="56"/>
      <c r="E10" s="56">
        <v>30390</v>
      </c>
      <c r="F10" s="87" t="s">
        <v>84</v>
      </c>
      <c r="G10" s="209"/>
      <c r="H10" s="207"/>
      <c r="I10" s="131" t="s">
        <v>40</v>
      </c>
      <c r="J10" s="35"/>
      <c r="M10" s="101"/>
      <c r="N10" s="101"/>
      <c r="O10" s="107"/>
      <c r="P10" s="107"/>
      <c r="Q10" s="107"/>
      <c r="R10" s="104"/>
      <c r="S10" s="104"/>
      <c r="T10" s="104"/>
      <c r="U10" s="104"/>
    </row>
    <row r="11" spans="1:21">
      <c r="A11" s="52" t="s">
        <v>86</v>
      </c>
      <c r="B11" s="52"/>
      <c r="C11" s="55"/>
      <c r="D11" s="55"/>
      <c r="E11" s="56">
        <v>31859</v>
      </c>
      <c r="F11" s="48" t="s">
        <v>92</v>
      </c>
      <c r="G11" s="209" t="s">
        <v>241</v>
      </c>
      <c r="H11" s="207"/>
      <c r="I11" s="131" t="s">
        <v>40</v>
      </c>
      <c r="J11" s="35"/>
      <c r="M11" s="101"/>
      <c r="N11" s="101"/>
      <c r="O11" s="106"/>
      <c r="P11" s="106"/>
      <c r="Q11" s="107"/>
      <c r="R11" s="104"/>
      <c r="S11" s="104"/>
      <c r="T11" s="104"/>
      <c r="U11" s="104"/>
    </row>
    <row r="12" spans="1:21">
      <c r="A12" s="52" t="s">
        <v>95</v>
      </c>
      <c r="B12" s="52"/>
      <c r="C12" s="55"/>
      <c r="D12" s="55"/>
      <c r="E12" s="56">
        <v>27192</v>
      </c>
      <c r="F12" s="48" t="s">
        <v>100</v>
      </c>
      <c r="G12" s="209" t="s">
        <v>242</v>
      </c>
      <c r="H12" s="207"/>
      <c r="I12" s="131" t="s">
        <v>40</v>
      </c>
      <c r="J12" s="35"/>
      <c r="M12" s="101"/>
      <c r="N12" s="101"/>
      <c r="O12" s="106"/>
      <c r="P12" s="106"/>
      <c r="Q12" s="107"/>
      <c r="R12" s="104"/>
      <c r="S12" s="104"/>
      <c r="T12" s="104"/>
      <c r="U12" s="104"/>
    </row>
    <row r="13" spans="1:21">
      <c r="A13" s="52" t="s">
        <v>101</v>
      </c>
      <c r="B13" s="52"/>
      <c r="C13" s="55"/>
      <c r="D13" s="55"/>
      <c r="E13" s="56">
        <v>26927</v>
      </c>
      <c r="F13" s="48" t="s">
        <v>108</v>
      </c>
      <c r="G13" s="209" t="s">
        <v>243</v>
      </c>
      <c r="H13" s="207"/>
      <c r="I13" s="131" t="s">
        <v>40</v>
      </c>
      <c r="J13" s="35"/>
      <c r="M13" s="101"/>
      <c r="N13" s="101"/>
      <c r="O13" s="106"/>
      <c r="P13" s="106"/>
      <c r="Q13" s="107"/>
      <c r="R13" s="104"/>
      <c r="S13" s="104"/>
      <c r="T13" s="104"/>
      <c r="U13" s="104"/>
    </row>
    <row r="14" spans="1:21">
      <c r="A14" s="52" t="s">
        <v>109</v>
      </c>
      <c r="B14" s="52"/>
      <c r="C14" s="56">
        <v>42643</v>
      </c>
      <c r="D14" s="56"/>
      <c r="E14" s="56">
        <v>25741</v>
      </c>
      <c r="F14" s="48" t="s">
        <v>116</v>
      </c>
      <c r="G14" s="209" t="s">
        <v>241</v>
      </c>
      <c r="H14" s="208">
        <v>45971</v>
      </c>
      <c r="I14" s="131" t="s">
        <v>40</v>
      </c>
      <c r="J14" s="35"/>
      <c r="M14" s="101"/>
      <c r="N14" s="101"/>
      <c r="O14" s="107"/>
      <c r="P14" s="107"/>
      <c r="Q14" s="107"/>
      <c r="R14" s="104"/>
      <c r="S14" s="104"/>
      <c r="T14" s="104"/>
      <c r="U14" s="104"/>
    </row>
    <row r="15" spans="1:21">
      <c r="A15" s="52" t="s">
        <v>117</v>
      </c>
      <c r="B15" s="52"/>
      <c r="C15" s="56">
        <v>45828</v>
      </c>
      <c r="D15" s="56"/>
      <c r="E15" s="56">
        <v>45828</v>
      </c>
      <c r="F15" s="88" t="s">
        <v>122</v>
      </c>
      <c r="G15" s="209"/>
      <c r="H15" s="207"/>
      <c r="I15" s="100"/>
      <c r="J15" s="84"/>
      <c r="M15" s="101"/>
      <c r="N15" s="101"/>
      <c r="O15" s="107"/>
      <c r="P15" s="107"/>
      <c r="Q15" s="107"/>
      <c r="R15" s="104"/>
      <c r="S15" s="104"/>
      <c r="T15" s="104"/>
      <c r="U15" s="104"/>
    </row>
    <row r="16" spans="1:21">
      <c r="A16" s="52" t="s">
        <v>244</v>
      </c>
      <c r="B16" s="52"/>
      <c r="C16" s="55"/>
      <c r="D16" s="55"/>
      <c r="E16" s="56">
        <v>30066</v>
      </c>
      <c r="F16" s="48" t="s">
        <v>131</v>
      </c>
      <c r="G16" s="209"/>
      <c r="H16" s="207"/>
      <c r="I16" s="131" t="s">
        <v>40</v>
      </c>
      <c r="J16" s="35"/>
      <c r="M16" s="101"/>
      <c r="N16" s="101"/>
      <c r="O16" s="106"/>
      <c r="P16" s="106"/>
      <c r="Q16" s="107"/>
      <c r="R16" s="104"/>
      <c r="S16" s="104"/>
      <c r="T16" s="104"/>
      <c r="U16" s="104"/>
    </row>
    <row r="17" spans="1:21">
      <c r="A17" s="52" t="s">
        <v>245</v>
      </c>
      <c r="B17" s="52"/>
      <c r="C17" s="55"/>
      <c r="D17" s="55"/>
      <c r="E17" s="56">
        <v>29485</v>
      </c>
      <c r="F17" s="48" t="s">
        <v>246</v>
      </c>
      <c r="G17" s="209" t="s">
        <v>242</v>
      </c>
      <c r="H17" s="208">
        <v>45966</v>
      </c>
      <c r="I17" s="131" t="s">
        <v>40</v>
      </c>
      <c r="J17" s="35"/>
      <c r="M17" s="101"/>
      <c r="N17" s="101"/>
      <c r="O17" s="106"/>
      <c r="P17" s="106"/>
      <c r="Q17" s="107"/>
      <c r="R17" s="104"/>
      <c r="S17" s="104"/>
      <c r="T17" s="104"/>
      <c r="U17" s="104"/>
    </row>
    <row r="18" spans="1:21">
      <c r="A18" s="53" t="s">
        <v>132</v>
      </c>
      <c r="B18" s="53"/>
      <c r="C18" s="57"/>
      <c r="D18" s="57"/>
      <c r="E18" s="57"/>
      <c r="F18" s="89"/>
      <c r="G18" s="209"/>
      <c r="H18" s="207"/>
      <c r="I18" s="131" t="s">
        <v>40</v>
      </c>
      <c r="J18" s="35"/>
      <c r="M18" s="108"/>
      <c r="N18" s="108"/>
      <c r="O18" s="109"/>
      <c r="P18" s="109"/>
      <c r="Q18" s="109"/>
      <c r="R18" s="104"/>
      <c r="S18" s="104"/>
      <c r="T18" s="104"/>
      <c r="U18" s="104"/>
    </row>
    <row r="19" spans="1:21">
      <c r="A19" s="52" t="s">
        <v>137</v>
      </c>
      <c r="B19" s="52"/>
      <c r="C19" s="60"/>
      <c r="D19" s="60"/>
      <c r="E19" s="55"/>
      <c r="F19" s="48" t="s">
        <v>143</v>
      </c>
      <c r="G19" s="209"/>
      <c r="H19" s="207"/>
      <c r="I19" s="100"/>
      <c r="J19" s="84"/>
      <c r="M19" s="101"/>
      <c r="N19" s="101"/>
      <c r="O19" s="105"/>
      <c r="P19" s="105"/>
      <c r="Q19" s="106"/>
      <c r="R19" s="104"/>
      <c r="S19" s="104"/>
      <c r="T19" s="104"/>
      <c r="U19" s="104"/>
    </row>
    <row r="20" spans="1:21">
      <c r="A20" s="52" t="s">
        <v>247</v>
      </c>
      <c r="B20" s="52"/>
      <c r="C20" s="55"/>
      <c r="D20" s="55"/>
      <c r="E20" s="56">
        <v>24987</v>
      </c>
      <c r="F20" s="48" t="s">
        <v>248</v>
      </c>
      <c r="G20" s="209" t="s">
        <v>243</v>
      </c>
      <c r="H20" s="207"/>
      <c r="I20" s="131" t="s">
        <v>40</v>
      </c>
      <c r="J20" s="35"/>
      <c r="M20" s="101"/>
      <c r="N20" s="101"/>
      <c r="O20" s="106"/>
      <c r="P20" s="106"/>
      <c r="Q20" s="107"/>
      <c r="R20" s="104"/>
      <c r="S20" s="104"/>
      <c r="T20" s="104"/>
      <c r="U20" s="104"/>
    </row>
    <row r="21" spans="1:21">
      <c r="A21" s="52" t="s">
        <v>144</v>
      </c>
      <c r="B21" s="52"/>
      <c r="C21" s="56">
        <v>42520</v>
      </c>
      <c r="D21" s="56"/>
      <c r="E21" s="56">
        <v>26248</v>
      </c>
      <c r="F21" s="48" t="s">
        <v>149</v>
      </c>
      <c r="G21" s="209"/>
      <c r="H21" s="207"/>
      <c r="I21" s="131" t="s">
        <v>40</v>
      </c>
      <c r="J21" s="35"/>
      <c r="M21" s="101"/>
      <c r="N21" s="101"/>
      <c r="O21" s="107"/>
      <c r="P21" s="107"/>
      <c r="Q21" s="107"/>
      <c r="R21" s="104"/>
      <c r="S21" s="104"/>
      <c r="T21" s="104"/>
      <c r="U21" s="104"/>
    </row>
    <row r="22" spans="1:21">
      <c r="A22" s="52" t="s">
        <v>150</v>
      </c>
      <c r="B22" s="52"/>
      <c r="C22" s="56">
        <v>43892</v>
      </c>
      <c r="D22" s="56"/>
      <c r="E22" s="56">
        <v>27125</v>
      </c>
      <c r="F22" s="48" t="s">
        <v>157</v>
      </c>
      <c r="G22" s="209" t="s">
        <v>243</v>
      </c>
      <c r="H22" s="207"/>
      <c r="I22" s="131" t="s">
        <v>40</v>
      </c>
      <c r="J22" s="35"/>
      <c r="M22" s="101"/>
      <c r="N22" s="101"/>
      <c r="O22" s="107"/>
      <c r="P22" s="107"/>
      <c r="Q22" s="107"/>
      <c r="R22" s="104"/>
      <c r="S22" s="104"/>
      <c r="T22" s="104"/>
      <c r="U22" s="104"/>
    </row>
    <row r="23" spans="1:21">
      <c r="A23" s="52" t="s">
        <v>150</v>
      </c>
      <c r="B23" s="52"/>
      <c r="C23" s="79"/>
      <c r="D23" s="79"/>
      <c r="E23" s="79"/>
      <c r="F23" s="90"/>
      <c r="G23" s="209"/>
      <c r="H23" s="207"/>
      <c r="I23" s="100"/>
      <c r="J23" s="35"/>
      <c r="M23" s="101"/>
      <c r="N23" s="101"/>
      <c r="O23" s="106"/>
      <c r="P23" s="106"/>
      <c r="Q23" s="106"/>
      <c r="R23" s="104"/>
      <c r="S23" s="104"/>
      <c r="T23" s="104"/>
      <c r="U23" s="104"/>
    </row>
    <row r="24" spans="1:21">
      <c r="A24" s="52" t="s">
        <v>249</v>
      </c>
      <c r="B24" s="52"/>
      <c r="C24" s="55"/>
      <c r="D24" s="55"/>
      <c r="E24" s="55"/>
      <c r="F24" s="48" t="s">
        <v>250</v>
      </c>
      <c r="G24" s="209"/>
      <c r="H24" s="207"/>
      <c r="I24" s="100"/>
      <c r="J24" s="84"/>
      <c r="M24" s="101"/>
      <c r="N24" s="101"/>
      <c r="O24" s="106"/>
      <c r="P24" s="106"/>
      <c r="Q24" s="106"/>
      <c r="R24" s="104"/>
      <c r="S24" s="104"/>
      <c r="T24" s="104"/>
      <c r="U24" s="104"/>
    </row>
    <row r="25" spans="1:21">
      <c r="A25" s="52" t="s">
        <v>251</v>
      </c>
      <c r="B25" s="52"/>
      <c r="C25" s="55"/>
      <c r="D25" s="55"/>
      <c r="E25" s="56">
        <v>30915</v>
      </c>
      <c r="F25" s="48" t="s">
        <v>162</v>
      </c>
      <c r="G25" s="209"/>
      <c r="H25" s="207"/>
      <c r="I25" s="100"/>
      <c r="J25" s="84"/>
      <c r="M25" s="101"/>
      <c r="N25" s="101"/>
      <c r="O25" s="106"/>
      <c r="P25" s="106"/>
      <c r="Q25" s="107"/>
      <c r="R25" s="104"/>
      <c r="S25" s="104"/>
      <c r="T25" s="104"/>
      <c r="U25" s="104"/>
    </row>
    <row r="26" spans="1:21">
      <c r="A26" s="52" t="s">
        <v>252</v>
      </c>
      <c r="B26" s="52"/>
      <c r="C26" s="56">
        <v>44810</v>
      </c>
      <c r="D26" s="56"/>
      <c r="E26" s="56">
        <v>35453</v>
      </c>
      <c r="F26" s="48" t="s">
        <v>173</v>
      </c>
      <c r="G26" s="209"/>
      <c r="H26" s="207"/>
      <c r="I26" s="100"/>
      <c r="J26" s="84"/>
      <c r="M26" s="101"/>
      <c r="N26" s="101"/>
      <c r="O26" s="107"/>
      <c r="P26" s="107"/>
      <c r="Q26" s="107"/>
      <c r="R26" s="104"/>
      <c r="S26" s="104"/>
      <c r="T26" s="104"/>
      <c r="U26" s="104"/>
    </row>
    <row r="27" spans="1:21">
      <c r="A27" s="76" t="s">
        <v>253</v>
      </c>
      <c r="B27" s="76"/>
      <c r="C27" s="77"/>
      <c r="D27" s="77"/>
      <c r="E27" s="77"/>
      <c r="F27" s="91" t="s">
        <v>250</v>
      </c>
      <c r="G27" s="209" t="s">
        <v>241</v>
      </c>
      <c r="H27" s="207"/>
      <c r="I27" s="131" t="s">
        <v>40</v>
      </c>
      <c r="J27" s="54"/>
      <c r="M27" s="108"/>
      <c r="N27" s="108"/>
      <c r="O27" s="109"/>
      <c r="P27" s="109"/>
      <c r="Q27" s="109"/>
      <c r="R27" s="104"/>
      <c r="S27" s="104"/>
      <c r="T27" s="104"/>
      <c r="U27" s="104"/>
    </row>
    <row r="30" spans="1:21" s="110" customFormat="1" ht="33" thickBot="1">
      <c r="A30" s="110" t="s">
        <v>254</v>
      </c>
      <c r="E30" s="111"/>
      <c r="M30" s="204" t="s">
        <v>255</v>
      </c>
      <c r="N30" s="204"/>
      <c r="O30" s="204" t="s">
        <v>256</v>
      </c>
      <c r="P30" s="204"/>
      <c r="Q30" s="204" t="s">
        <v>257</v>
      </c>
    </row>
    <row r="31" spans="1:21" ht="51.75">
      <c r="A31" s="59" t="s">
        <v>225</v>
      </c>
      <c r="B31" s="59"/>
      <c r="C31" s="58" t="s">
        <v>3</v>
      </c>
      <c r="D31" s="58" t="s">
        <v>258</v>
      </c>
      <c r="E31" s="134" t="s">
        <v>4</v>
      </c>
      <c r="F31" s="94" t="s">
        <v>259</v>
      </c>
      <c r="G31" s="127" t="s">
        <v>8</v>
      </c>
      <c r="H31" s="95" t="s">
        <v>222</v>
      </c>
      <c r="I31" s="128" t="s">
        <v>223</v>
      </c>
      <c r="J31" s="129" t="s">
        <v>231</v>
      </c>
      <c r="M31" s="205" t="s">
        <v>260</v>
      </c>
      <c r="N31" s="205"/>
      <c r="O31" s="205" t="s">
        <v>260</v>
      </c>
      <c r="P31" s="205"/>
      <c r="Q31" s="205" t="s">
        <v>261</v>
      </c>
    </row>
    <row r="32" spans="1:21">
      <c r="A32" s="101" t="s">
        <v>262</v>
      </c>
      <c r="B32" s="202"/>
      <c r="C32" s="102">
        <v>45748</v>
      </c>
      <c r="D32" s="102"/>
      <c r="E32" s="102">
        <v>32077</v>
      </c>
      <c r="F32" s="124">
        <v>45836</v>
      </c>
      <c r="G32" s="125"/>
      <c r="H32" s="125"/>
      <c r="I32" s="35"/>
      <c r="J32" s="133"/>
    </row>
    <row r="33" spans="1:10">
      <c r="A33" s="101" t="s">
        <v>137</v>
      </c>
      <c r="B33" s="101"/>
      <c r="C33" s="107">
        <v>45593</v>
      </c>
      <c r="D33" s="107"/>
      <c r="E33" s="107">
        <v>35616</v>
      </c>
      <c r="F33" s="124">
        <v>45836</v>
      </c>
      <c r="G33" s="125"/>
      <c r="H33" s="125"/>
      <c r="I33" s="35"/>
      <c r="J33" s="104"/>
    </row>
    <row r="34" spans="1:10">
      <c r="A34" s="101" t="s">
        <v>30</v>
      </c>
      <c r="B34" s="101"/>
      <c r="C34" s="107">
        <v>45789</v>
      </c>
      <c r="D34" s="107"/>
      <c r="E34" s="107">
        <v>31990</v>
      </c>
      <c r="F34" s="124">
        <v>37393</v>
      </c>
      <c r="G34" s="125"/>
      <c r="H34" s="125"/>
      <c r="I34" s="104"/>
      <c r="J34" s="104"/>
    </row>
    <row r="35" spans="1:10">
      <c r="A35" s="101"/>
      <c r="B35" s="101"/>
      <c r="C35" s="106"/>
      <c r="D35" s="106"/>
      <c r="E35" s="107"/>
      <c r="F35" s="104"/>
      <c r="G35" s="125"/>
      <c r="H35" s="125"/>
      <c r="I35" s="104"/>
      <c r="J35" s="104"/>
    </row>
    <row r="36" spans="1:10">
      <c r="A36" s="101"/>
      <c r="B36" s="101"/>
      <c r="C36" s="107"/>
      <c r="D36" s="107"/>
      <c r="E36" s="107"/>
      <c r="F36" s="104"/>
      <c r="G36" s="125"/>
      <c r="H36" s="125"/>
      <c r="I36" s="104"/>
      <c r="J36" s="104"/>
    </row>
  </sheetData>
  <pageMargins left="0.25" right="0.25" top="0.75" bottom="0.75" header="0.3" footer="0.3"/>
  <pageSetup paperSize="9" scale="42"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44DE9-AACB-48B1-8EF1-E60217D7231C}">
  <sheetPr>
    <tabColor rgb="FFFFC000"/>
  </sheetPr>
  <dimension ref="A1:R28"/>
  <sheetViews>
    <sheetView zoomScale="88" zoomScaleNormal="88" workbookViewId="0">
      <pane ySplit="1" topLeftCell="A2" activePane="bottomLeft" state="frozen"/>
      <selection pane="bottomLeft" activeCell="I17" sqref="I17"/>
    </sheetView>
  </sheetViews>
  <sheetFormatPr defaultColWidth="15.5703125" defaultRowHeight="15"/>
  <cols>
    <col min="1" max="1" width="18.28515625" style="341" customWidth="1"/>
    <col min="2" max="2" width="20.28515625" style="342" customWidth="1"/>
    <col min="3" max="3" width="14.28515625" style="342" customWidth="1"/>
    <col min="4" max="4" width="12.5703125" style="342" customWidth="1"/>
    <col min="5" max="5" width="17.85546875" style="342" customWidth="1"/>
    <col min="6" max="6" width="11.42578125" style="342" customWidth="1"/>
    <col min="7" max="7" width="17.140625" style="276" customWidth="1"/>
    <col min="8" max="8" width="14" style="276" customWidth="1"/>
    <col min="9" max="9" width="29.42578125" style="342" customWidth="1"/>
    <col min="10" max="10" width="17" style="342" customWidth="1"/>
    <col min="11" max="11" width="18.28515625" style="342" customWidth="1"/>
    <col min="12" max="16384" width="15.5703125" style="276"/>
  </cols>
  <sheetData>
    <row r="1" spans="1:15" ht="45.75" thickBot="1">
      <c r="A1" s="273" t="s">
        <v>263</v>
      </c>
      <c r="B1" s="274" t="s">
        <v>264</v>
      </c>
      <c r="C1" s="274" t="s">
        <v>265</v>
      </c>
      <c r="D1" s="274" t="s">
        <v>266</v>
      </c>
      <c r="E1" s="274" t="s">
        <v>267</v>
      </c>
      <c r="F1" s="274" t="s">
        <v>268</v>
      </c>
      <c r="G1" s="274" t="s">
        <v>269</v>
      </c>
      <c r="H1" s="274" t="s">
        <v>270</v>
      </c>
      <c r="I1" s="274" t="s">
        <v>271</v>
      </c>
      <c r="J1" s="274" t="s">
        <v>272</v>
      </c>
      <c r="K1" s="275" t="s">
        <v>273</v>
      </c>
      <c r="N1" s="277" t="s">
        <v>20</v>
      </c>
      <c r="O1" s="278" t="s">
        <v>26</v>
      </c>
    </row>
    <row r="2" spans="1:15" ht="36" customHeight="1" thickBot="1">
      <c r="A2" s="279" t="s">
        <v>20</v>
      </c>
      <c r="B2" s="280">
        <v>48778</v>
      </c>
      <c r="C2" s="280">
        <v>47059</v>
      </c>
      <c r="D2" s="281">
        <v>46331</v>
      </c>
      <c r="E2" s="282">
        <v>47105</v>
      </c>
      <c r="F2" s="282">
        <v>46716</v>
      </c>
      <c r="G2" s="282">
        <v>46589</v>
      </c>
      <c r="H2" s="282"/>
      <c r="I2" s="282" t="s">
        <v>26</v>
      </c>
      <c r="J2" s="283">
        <v>40192301117</v>
      </c>
      <c r="K2" s="284" t="s">
        <v>27</v>
      </c>
      <c r="N2" s="277" t="s">
        <v>30</v>
      </c>
      <c r="O2" s="278" t="s">
        <v>181</v>
      </c>
    </row>
    <row r="3" spans="1:15" ht="33" customHeight="1" thickBot="1">
      <c r="A3" s="279" t="s">
        <v>30</v>
      </c>
      <c r="B3" s="282">
        <v>49059</v>
      </c>
      <c r="C3" s="285">
        <v>51058</v>
      </c>
      <c r="D3" s="286" t="s">
        <v>234</v>
      </c>
      <c r="E3" s="286" t="s">
        <v>234</v>
      </c>
      <c r="F3" s="287" t="s">
        <v>234</v>
      </c>
      <c r="G3" s="288">
        <v>45568</v>
      </c>
      <c r="H3" s="282"/>
      <c r="I3" s="286" t="s">
        <v>181</v>
      </c>
      <c r="J3" s="286" t="s">
        <v>234</v>
      </c>
      <c r="K3" s="289" t="s">
        <v>38</v>
      </c>
      <c r="N3" s="277" t="s">
        <v>274</v>
      </c>
      <c r="O3" s="290" t="s">
        <v>182</v>
      </c>
    </row>
    <row r="4" spans="1:15" ht="30.75" thickBot="1">
      <c r="A4" s="279" t="s">
        <v>41</v>
      </c>
      <c r="B4" s="285">
        <v>48005</v>
      </c>
      <c r="C4" s="291">
        <v>46912</v>
      </c>
      <c r="D4" s="286" t="s">
        <v>234</v>
      </c>
      <c r="E4" s="285">
        <v>46855</v>
      </c>
      <c r="F4" s="285">
        <v>46562</v>
      </c>
      <c r="G4" s="285">
        <v>46892</v>
      </c>
      <c r="H4" s="285"/>
      <c r="I4" s="285" t="s">
        <v>275</v>
      </c>
      <c r="J4" s="292">
        <v>543539001</v>
      </c>
      <c r="K4" s="293" t="s">
        <v>276</v>
      </c>
      <c r="N4" s="294" t="s">
        <v>236</v>
      </c>
      <c r="O4" s="295" t="s">
        <v>183</v>
      </c>
    </row>
    <row r="5" spans="1:15" ht="30.75" thickBot="1">
      <c r="A5" s="279" t="s">
        <v>50</v>
      </c>
      <c r="B5" s="280">
        <v>49455</v>
      </c>
      <c r="C5" s="285">
        <v>47822</v>
      </c>
      <c r="D5" s="296">
        <v>47043</v>
      </c>
      <c r="E5" s="297">
        <v>46074</v>
      </c>
      <c r="F5" s="291">
        <v>47885</v>
      </c>
      <c r="G5" s="291">
        <v>47062</v>
      </c>
      <c r="H5" s="291"/>
      <c r="I5" s="299" t="s">
        <v>184</v>
      </c>
      <c r="J5" s="292">
        <v>140992300535</v>
      </c>
      <c r="K5" s="284" t="s">
        <v>58</v>
      </c>
      <c r="N5" s="300" t="s">
        <v>50</v>
      </c>
      <c r="O5" s="301" t="s">
        <v>184</v>
      </c>
    </row>
    <row r="6" spans="1:15" ht="30.75" thickBot="1">
      <c r="A6" s="279" t="s">
        <v>67</v>
      </c>
      <c r="B6" s="302">
        <v>46043</v>
      </c>
      <c r="C6" s="285">
        <v>46857</v>
      </c>
      <c r="D6" s="286" t="s">
        <v>234</v>
      </c>
      <c r="E6" s="285">
        <v>46903</v>
      </c>
      <c r="F6" s="296"/>
      <c r="G6" s="291">
        <v>46814</v>
      </c>
      <c r="H6" s="291"/>
      <c r="I6" s="303" t="s">
        <v>185</v>
      </c>
      <c r="J6" s="292"/>
      <c r="K6" s="304"/>
      <c r="N6" s="305" t="s">
        <v>183</v>
      </c>
      <c r="O6" s="306"/>
    </row>
    <row r="7" spans="1:15" ht="34.5" customHeight="1" thickBot="1">
      <c r="A7" s="307" t="s">
        <v>277</v>
      </c>
      <c r="B7" s="280">
        <v>47056</v>
      </c>
      <c r="C7" s="280">
        <v>48972</v>
      </c>
      <c r="D7" s="308">
        <v>43774</v>
      </c>
      <c r="E7" s="280">
        <v>46908</v>
      </c>
      <c r="F7" s="280"/>
      <c r="G7" s="281">
        <v>46212</v>
      </c>
      <c r="H7" s="280"/>
      <c r="I7" s="309" t="s">
        <v>278</v>
      </c>
      <c r="J7" s="280"/>
      <c r="K7" s="284"/>
      <c r="N7" s="300" t="s">
        <v>59</v>
      </c>
      <c r="O7" s="310" t="s">
        <v>186</v>
      </c>
    </row>
    <row r="8" spans="1:15" ht="30.75" thickBot="1">
      <c r="A8" s="279" t="s">
        <v>59</v>
      </c>
      <c r="B8" s="288">
        <v>45534</v>
      </c>
      <c r="C8" s="285">
        <v>46475</v>
      </c>
      <c r="D8" s="296">
        <v>47085</v>
      </c>
      <c r="E8" s="285">
        <v>46547</v>
      </c>
      <c r="F8" s="285">
        <v>46546</v>
      </c>
      <c r="G8" s="282">
        <v>46433</v>
      </c>
      <c r="H8" s="282">
        <v>47025</v>
      </c>
      <c r="I8" s="299" t="s">
        <v>186</v>
      </c>
      <c r="J8" s="292"/>
      <c r="K8" s="304"/>
      <c r="N8" s="300" t="s">
        <v>279</v>
      </c>
      <c r="O8" s="310" t="s">
        <v>187</v>
      </c>
    </row>
    <row r="9" spans="1:15" ht="34.5" customHeight="1" thickBot="1">
      <c r="A9" s="279" t="s">
        <v>279</v>
      </c>
      <c r="B9" s="285">
        <v>48242</v>
      </c>
      <c r="C9" s="312" t="s">
        <v>280</v>
      </c>
      <c r="D9" s="313">
        <v>44986</v>
      </c>
      <c r="E9" s="296">
        <v>47391</v>
      </c>
      <c r="F9" s="296">
        <v>46758</v>
      </c>
      <c r="G9" s="285"/>
      <c r="H9" s="285"/>
      <c r="I9" s="314" t="s">
        <v>281</v>
      </c>
      <c r="J9" s="292"/>
      <c r="K9" s="315"/>
      <c r="N9" s="300" t="s">
        <v>86</v>
      </c>
      <c r="O9" s="310" t="s">
        <v>188</v>
      </c>
    </row>
    <row r="10" spans="1:15" ht="30.75" thickBot="1">
      <c r="A10" s="279" t="s">
        <v>86</v>
      </c>
      <c r="B10" s="285">
        <v>48195</v>
      </c>
      <c r="C10" s="285">
        <v>46895</v>
      </c>
      <c r="D10" s="285">
        <v>46757</v>
      </c>
      <c r="E10" s="296">
        <v>46924</v>
      </c>
      <c r="F10" s="296">
        <v>46850</v>
      </c>
      <c r="G10" s="285">
        <v>46735</v>
      </c>
      <c r="H10" s="285">
        <v>46193</v>
      </c>
      <c r="I10" s="299" t="s">
        <v>188</v>
      </c>
      <c r="J10" s="292"/>
      <c r="K10" s="304"/>
      <c r="N10" s="300" t="s">
        <v>95</v>
      </c>
      <c r="O10" s="310" t="s">
        <v>189</v>
      </c>
    </row>
    <row r="11" spans="1:15" ht="29.25" customHeight="1" thickBot="1">
      <c r="A11" s="279" t="s">
        <v>95</v>
      </c>
      <c r="B11" s="285">
        <v>45694</v>
      </c>
      <c r="C11" s="298">
        <v>45981</v>
      </c>
      <c r="D11" s="297">
        <v>46331</v>
      </c>
      <c r="E11" s="282">
        <v>47017</v>
      </c>
      <c r="F11" s="296">
        <v>47185</v>
      </c>
      <c r="G11" s="316">
        <v>45981</v>
      </c>
      <c r="H11" s="291"/>
      <c r="I11" s="303" t="s">
        <v>189</v>
      </c>
      <c r="J11" s="292"/>
      <c r="K11" s="304"/>
      <c r="N11" s="300" t="s">
        <v>101</v>
      </c>
      <c r="O11" s="310" t="s">
        <v>190</v>
      </c>
    </row>
    <row r="12" spans="1:15" ht="30.75" thickBot="1">
      <c r="A12" s="279" t="s">
        <v>101</v>
      </c>
      <c r="B12" s="285">
        <v>47382</v>
      </c>
      <c r="C12" s="291">
        <v>46401</v>
      </c>
      <c r="D12" s="297">
        <v>46302</v>
      </c>
      <c r="E12" s="282">
        <v>47133</v>
      </c>
      <c r="F12" s="282">
        <v>47130</v>
      </c>
      <c r="G12" s="285">
        <v>46370</v>
      </c>
      <c r="H12" s="297">
        <v>46054</v>
      </c>
      <c r="I12" s="303" t="s">
        <v>190</v>
      </c>
      <c r="J12" s="317"/>
      <c r="K12" s="293"/>
      <c r="N12" s="300" t="s">
        <v>117</v>
      </c>
      <c r="O12" s="310" t="s">
        <v>121</v>
      </c>
    </row>
    <row r="13" spans="1:15" ht="30.75" thickBot="1">
      <c r="A13" s="279" t="s">
        <v>117</v>
      </c>
      <c r="B13" s="297">
        <v>46354</v>
      </c>
      <c r="C13" s="285">
        <v>47331</v>
      </c>
      <c r="D13" s="296" t="s">
        <v>234</v>
      </c>
      <c r="E13" s="285">
        <v>47397</v>
      </c>
      <c r="F13" s="296">
        <v>47633</v>
      </c>
      <c r="G13" s="285">
        <v>47224</v>
      </c>
      <c r="H13" s="285"/>
      <c r="I13" s="314" t="s">
        <v>282</v>
      </c>
      <c r="J13" s="292">
        <v>1664978000</v>
      </c>
      <c r="K13" s="318" t="s">
        <v>122</v>
      </c>
      <c r="N13" s="300" t="s">
        <v>109</v>
      </c>
      <c r="O13" s="310" t="s">
        <v>191</v>
      </c>
    </row>
    <row r="14" spans="1:15" ht="33.75" thickBot="1">
      <c r="A14" s="279" t="s">
        <v>109</v>
      </c>
      <c r="B14" s="311">
        <v>46151</v>
      </c>
      <c r="C14" s="282">
        <v>47248</v>
      </c>
      <c r="D14" s="282">
        <v>47841</v>
      </c>
      <c r="E14" s="282">
        <v>47097</v>
      </c>
      <c r="F14" s="282">
        <v>47458</v>
      </c>
      <c r="G14" s="286"/>
      <c r="H14" s="286"/>
      <c r="I14" s="314" t="s">
        <v>191</v>
      </c>
      <c r="J14" s="317"/>
      <c r="K14" s="319"/>
      <c r="N14" s="300" t="s">
        <v>245</v>
      </c>
      <c r="O14" s="310" t="s">
        <v>192</v>
      </c>
    </row>
    <row r="15" spans="1:15" ht="30.75" thickBot="1">
      <c r="A15" s="279" t="s">
        <v>123</v>
      </c>
      <c r="B15" s="285">
        <v>48658</v>
      </c>
      <c r="C15" s="282">
        <v>47407</v>
      </c>
      <c r="D15" s="282">
        <v>47640</v>
      </c>
      <c r="E15" s="296">
        <v>47586</v>
      </c>
      <c r="F15" s="282">
        <v>47088</v>
      </c>
      <c r="G15" s="285">
        <v>46992</v>
      </c>
      <c r="H15" s="285">
        <v>45818</v>
      </c>
      <c r="I15" s="296"/>
      <c r="J15" s="320"/>
      <c r="K15" s="318">
        <v>230492301573</v>
      </c>
      <c r="N15" s="300" t="s">
        <v>132</v>
      </c>
      <c r="O15" s="310" t="s">
        <v>193</v>
      </c>
    </row>
    <row r="16" spans="1:15" ht="30.75" thickBot="1">
      <c r="A16" s="279" t="s">
        <v>132</v>
      </c>
      <c r="B16" s="286"/>
      <c r="C16" s="321">
        <v>46170</v>
      </c>
      <c r="D16" s="286"/>
      <c r="E16" s="296">
        <v>46495</v>
      </c>
      <c r="F16" s="296">
        <v>46421</v>
      </c>
      <c r="G16" s="321">
        <v>46104</v>
      </c>
      <c r="H16" s="286"/>
      <c r="I16" s="314" t="s">
        <v>193</v>
      </c>
      <c r="J16" s="292"/>
      <c r="K16" s="322"/>
      <c r="N16" s="300" t="s">
        <v>283</v>
      </c>
      <c r="O16" s="310" t="s">
        <v>194</v>
      </c>
    </row>
    <row r="17" spans="1:18" ht="30.75" thickBot="1">
      <c r="A17" s="307" t="s">
        <v>137</v>
      </c>
      <c r="B17" s="280">
        <v>49349</v>
      </c>
      <c r="C17" s="280">
        <v>47344</v>
      </c>
      <c r="D17" s="280">
        <v>47304</v>
      </c>
      <c r="E17" s="280">
        <v>47341</v>
      </c>
      <c r="F17" s="280">
        <v>47304</v>
      </c>
      <c r="G17" s="280">
        <v>47210</v>
      </c>
      <c r="H17" s="323"/>
      <c r="I17" s="314" t="s">
        <v>284</v>
      </c>
      <c r="J17" s="283"/>
      <c r="K17" s="284"/>
      <c r="N17" s="300" t="s">
        <v>285</v>
      </c>
      <c r="O17" s="310" t="s">
        <v>195</v>
      </c>
    </row>
    <row r="18" spans="1:18" ht="30.75" thickBot="1">
      <c r="A18" s="279" t="s">
        <v>144</v>
      </c>
      <c r="B18" s="285">
        <v>49432</v>
      </c>
      <c r="C18" s="280">
        <v>47546</v>
      </c>
      <c r="D18" s="321">
        <v>46121</v>
      </c>
      <c r="E18" s="282">
        <v>46867</v>
      </c>
      <c r="F18" s="282">
        <v>47067</v>
      </c>
      <c r="G18" s="324">
        <v>47546</v>
      </c>
      <c r="H18" s="324"/>
      <c r="I18" s="282"/>
      <c r="J18" s="292"/>
      <c r="K18" s="284" t="s">
        <v>286</v>
      </c>
      <c r="N18" s="300" t="s">
        <v>249</v>
      </c>
      <c r="O18" s="310" t="s">
        <v>196</v>
      </c>
    </row>
    <row r="19" spans="1:18" ht="31.5" customHeight="1" thickBot="1">
      <c r="A19" s="279" t="s">
        <v>150</v>
      </c>
      <c r="B19" s="285">
        <v>48617</v>
      </c>
      <c r="C19" s="285">
        <v>46820</v>
      </c>
      <c r="D19" s="286" t="s">
        <v>234</v>
      </c>
      <c r="E19" s="282" t="s">
        <v>287</v>
      </c>
      <c r="F19" s="291">
        <v>47737</v>
      </c>
      <c r="G19" s="285">
        <v>46804</v>
      </c>
      <c r="H19" s="316">
        <v>45809</v>
      </c>
      <c r="I19" s="314" t="s">
        <v>288</v>
      </c>
      <c r="J19" s="292">
        <v>10692300567</v>
      </c>
      <c r="K19" s="304" t="s">
        <v>157</v>
      </c>
      <c r="N19" s="300" t="s">
        <v>252</v>
      </c>
      <c r="O19" s="310" t="s">
        <v>197</v>
      </c>
    </row>
    <row r="20" spans="1:18" ht="20.100000000000001" customHeight="1" thickBot="1">
      <c r="A20" s="307" t="s">
        <v>289</v>
      </c>
      <c r="B20" s="280">
        <v>49043</v>
      </c>
      <c r="C20" s="280">
        <v>47511</v>
      </c>
      <c r="D20" s="280">
        <v>47616</v>
      </c>
      <c r="E20" s="280">
        <v>47602</v>
      </c>
      <c r="F20" s="280">
        <v>47601</v>
      </c>
      <c r="G20" s="280">
        <v>47355</v>
      </c>
      <c r="H20" s="323"/>
      <c r="I20" s="314" t="s">
        <v>290</v>
      </c>
      <c r="J20" s="283"/>
      <c r="K20" s="284" t="s">
        <v>291</v>
      </c>
      <c r="N20" s="325" t="s">
        <v>292</v>
      </c>
      <c r="O20" s="326" t="s">
        <v>198</v>
      </c>
    </row>
    <row r="21" spans="1:18" ht="30.75" thickBot="1">
      <c r="A21" s="327" t="s">
        <v>165</v>
      </c>
      <c r="B21" s="328">
        <v>48050</v>
      </c>
      <c r="C21" s="328">
        <v>46727</v>
      </c>
      <c r="D21" s="329">
        <v>47260</v>
      </c>
      <c r="E21" s="328">
        <v>46747</v>
      </c>
      <c r="F21" s="328">
        <v>46545</v>
      </c>
      <c r="G21" s="330">
        <v>46275</v>
      </c>
      <c r="H21" s="328"/>
      <c r="I21" s="328"/>
      <c r="J21" s="331"/>
      <c r="K21" s="332"/>
      <c r="N21" s="333" t="s">
        <v>293</v>
      </c>
      <c r="O21" s="334" t="s">
        <v>199</v>
      </c>
    </row>
    <row r="22" spans="1:18" ht="30.75" thickBot="1">
      <c r="A22" s="335" t="s">
        <v>294</v>
      </c>
      <c r="B22" s="336"/>
      <c r="C22" s="336">
        <v>47107</v>
      </c>
      <c r="D22" s="329">
        <v>47176</v>
      </c>
      <c r="E22" s="336"/>
      <c r="F22" s="336"/>
      <c r="G22" s="336"/>
      <c r="H22" s="323"/>
      <c r="I22" s="323"/>
      <c r="J22" s="323"/>
      <c r="K22" s="337"/>
      <c r="N22" s="338" t="s">
        <v>295</v>
      </c>
      <c r="O22" s="295" t="s">
        <v>200</v>
      </c>
      <c r="R22" s="276">
        <f>2442-1560</f>
        <v>882</v>
      </c>
    </row>
    <row r="23" spans="1:18" ht="27.75" customHeight="1" thickBot="1">
      <c r="A23" s="339" t="s">
        <v>296</v>
      </c>
      <c r="B23" s="336">
        <v>49647</v>
      </c>
      <c r="C23" s="336">
        <v>47793</v>
      </c>
      <c r="D23" s="329"/>
      <c r="E23" s="336">
        <v>47832</v>
      </c>
      <c r="F23" s="336"/>
      <c r="G23" s="336"/>
      <c r="H23" s="323"/>
      <c r="I23" s="323"/>
      <c r="J23" s="323"/>
      <c r="K23" s="337"/>
      <c r="N23" s="340" t="s">
        <v>289</v>
      </c>
      <c r="O23" s="258" t="s">
        <v>201</v>
      </c>
    </row>
    <row r="24" spans="1:18" ht="18" customHeight="1"/>
    <row r="26" spans="1:18" ht="30">
      <c r="B26" s="340" t="s">
        <v>297</v>
      </c>
      <c r="C26" s="343" t="s">
        <v>298</v>
      </c>
      <c r="D26" s="344" t="s">
        <v>299</v>
      </c>
    </row>
    <row r="28" spans="1:18" s="350" customFormat="1">
      <c r="A28" s="345" t="s">
        <v>236</v>
      </c>
      <c r="B28" s="346">
        <v>48835</v>
      </c>
      <c r="C28" s="305">
        <v>47043</v>
      </c>
      <c r="D28" s="305">
        <v>46959</v>
      </c>
      <c r="E28" s="305">
        <v>47009</v>
      </c>
      <c r="F28" s="347">
        <v>46969</v>
      </c>
      <c r="G28" s="348">
        <v>46814</v>
      </c>
      <c r="H28" s="349">
        <v>46092</v>
      </c>
      <c r="K28" s="305"/>
    </row>
  </sheetData>
  <phoneticPr fontId="39" type="noConversion"/>
  <printOptions verticalCentered="1"/>
  <pageMargins left="0.7" right="0.7" top="0.75" bottom="0.75" header="0.3" footer="0.3"/>
  <pageSetup paperSize="9" orientation="landscape" horizontalDpi="360" verticalDpi="36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16BAE-49ED-433E-B2CA-AA525F0B996C}">
  <dimension ref="A1:M7"/>
  <sheetViews>
    <sheetView workbookViewId="0">
      <selection activeCell="J19" sqref="J19"/>
    </sheetView>
  </sheetViews>
  <sheetFormatPr defaultColWidth="11.42578125" defaultRowHeight="15"/>
  <cols>
    <col min="13" max="13" width="33.7109375" customWidth="1"/>
  </cols>
  <sheetData>
    <row r="1" spans="1:13" ht="18.75">
      <c r="A1" s="522" t="s">
        <v>300</v>
      </c>
      <c r="B1" s="522"/>
      <c r="C1" s="224" t="s">
        <v>301</v>
      </c>
      <c r="D1" s="224"/>
      <c r="E1" s="224" t="s">
        <v>264</v>
      </c>
      <c r="F1" s="224"/>
      <c r="G1" s="522" t="s">
        <v>302</v>
      </c>
      <c r="H1" s="522"/>
      <c r="I1" s="522" t="s">
        <v>303</v>
      </c>
      <c r="J1" s="522"/>
      <c r="K1" s="522" t="s">
        <v>304</v>
      </c>
      <c r="L1" s="522"/>
      <c r="M1" s="499" t="s">
        <v>305</v>
      </c>
    </row>
    <row r="2" spans="1:13" ht="34.5" customHeight="1">
      <c r="A2" s="520" t="s">
        <v>306</v>
      </c>
      <c r="B2" s="521"/>
      <c r="C2" s="512">
        <v>51058</v>
      </c>
      <c r="D2" s="513"/>
      <c r="E2" s="512">
        <v>49059</v>
      </c>
      <c r="F2" s="513"/>
      <c r="G2" s="518"/>
      <c r="H2" s="519"/>
      <c r="I2" s="512"/>
      <c r="J2" s="513"/>
      <c r="K2" s="512"/>
      <c r="L2" s="513"/>
      <c r="M2" s="223"/>
    </row>
    <row r="3" spans="1:13" ht="34.5" customHeight="1">
      <c r="A3" s="520" t="s">
        <v>307</v>
      </c>
      <c r="B3" s="521"/>
      <c r="C3" s="512">
        <v>47344</v>
      </c>
      <c r="D3" s="513"/>
      <c r="E3" s="512">
        <v>49349</v>
      </c>
      <c r="F3" s="513"/>
      <c r="G3" s="516">
        <v>47217</v>
      </c>
      <c r="H3" s="517"/>
      <c r="I3" s="512">
        <v>47304</v>
      </c>
      <c r="J3" s="513"/>
      <c r="K3" s="512"/>
      <c r="L3" s="513"/>
      <c r="M3" s="223"/>
    </row>
    <row r="4" spans="1:13" ht="34.5" customHeight="1">
      <c r="A4" s="520" t="s">
        <v>308</v>
      </c>
      <c r="B4" s="521"/>
      <c r="C4" s="512">
        <v>46306</v>
      </c>
      <c r="D4" s="513"/>
      <c r="E4" s="512">
        <v>46705</v>
      </c>
      <c r="F4" s="513"/>
      <c r="G4" s="518"/>
      <c r="H4" s="519"/>
      <c r="I4" s="512">
        <v>46350</v>
      </c>
      <c r="J4" s="513"/>
      <c r="K4" s="512"/>
      <c r="L4" s="513"/>
      <c r="M4" s="223"/>
    </row>
    <row r="5" spans="1:13" ht="34.5" customHeight="1">
      <c r="A5" s="520" t="s">
        <v>251</v>
      </c>
      <c r="B5" s="521"/>
      <c r="C5" s="512">
        <v>47511</v>
      </c>
      <c r="D5" s="513"/>
      <c r="E5" s="512">
        <v>49043</v>
      </c>
      <c r="F5" s="513"/>
      <c r="G5" s="518"/>
      <c r="H5" s="519"/>
      <c r="I5" s="514">
        <v>47602</v>
      </c>
      <c r="J5" s="515"/>
      <c r="K5" s="512"/>
      <c r="L5" s="513"/>
      <c r="M5" s="223"/>
    </row>
    <row r="6" spans="1:13" ht="34.5" customHeight="1">
      <c r="A6" s="520" t="s">
        <v>309</v>
      </c>
      <c r="B6" s="521"/>
      <c r="C6" s="512">
        <v>45997</v>
      </c>
      <c r="D6" s="513"/>
      <c r="E6" s="512">
        <v>48050</v>
      </c>
      <c r="F6" s="513"/>
      <c r="G6" s="518"/>
      <c r="H6" s="519"/>
      <c r="I6" s="512">
        <v>46747</v>
      </c>
      <c r="J6" s="513"/>
      <c r="K6" s="512"/>
      <c r="L6" s="513"/>
      <c r="M6" s="223"/>
    </row>
    <row r="7" spans="1:13" ht="30" customHeight="1">
      <c r="A7" s="520" t="s">
        <v>310</v>
      </c>
      <c r="B7" s="521"/>
      <c r="C7" s="512">
        <v>46362</v>
      </c>
      <c r="D7" s="513"/>
      <c r="E7" s="512">
        <v>48242</v>
      </c>
      <c r="F7" s="513"/>
      <c r="G7" s="518"/>
      <c r="H7" s="519"/>
      <c r="I7" s="512">
        <v>47391</v>
      </c>
      <c r="J7" s="513"/>
      <c r="K7" s="512"/>
      <c r="L7" s="513"/>
      <c r="M7" s="223"/>
    </row>
  </sheetData>
  <mergeCells count="40">
    <mergeCell ref="A1:B1"/>
    <mergeCell ref="G1:H1"/>
    <mergeCell ref="I1:J1"/>
    <mergeCell ref="K1:L1"/>
    <mergeCell ref="I2:J2"/>
    <mergeCell ref="K2:L2"/>
    <mergeCell ref="A7:B7"/>
    <mergeCell ref="C7:D7"/>
    <mergeCell ref="E7:F7"/>
    <mergeCell ref="G7:H7"/>
    <mergeCell ref="I7:J7"/>
    <mergeCell ref="K7:L7"/>
    <mergeCell ref="A3:B3"/>
    <mergeCell ref="A4:B4"/>
    <mergeCell ref="A2:B2"/>
    <mergeCell ref="C2:D2"/>
    <mergeCell ref="E2:F2"/>
    <mergeCell ref="G2:H2"/>
    <mergeCell ref="A5:B5"/>
    <mergeCell ref="A6:B6"/>
    <mergeCell ref="C3:D3"/>
    <mergeCell ref="C4:D4"/>
    <mergeCell ref="C5:D5"/>
    <mergeCell ref="C6:D6"/>
    <mergeCell ref="E3:F3"/>
    <mergeCell ref="E4:F4"/>
    <mergeCell ref="E5:F5"/>
    <mergeCell ref="E6:F6"/>
    <mergeCell ref="G3:H3"/>
    <mergeCell ref="G4:H4"/>
    <mergeCell ref="G5:H5"/>
    <mergeCell ref="G6:H6"/>
    <mergeCell ref="I3:J3"/>
    <mergeCell ref="I4:J4"/>
    <mergeCell ref="I5:J5"/>
    <mergeCell ref="I6:J6"/>
    <mergeCell ref="K3:L3"/>
    <mergeCell ref="K4:L4"/>
    <mergeCell ref="K5:L5"/>
    <mergeCell ref="K6:L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F5052-A3BD-4796-92E7-240D0F46C827}">
  <sheetPr>
    <pageSetUpPr fitToPage="1"/>
  </sheetPr>
  <dimension ref="A1:D23"/>
  <sheetViews>
    <sheetView workbookViewId="0">
      <selection activeCell="A25" sqref="A25"/>
    </sheetView>
  </sheetViews>
  <sheetFormatPr defaultColWidth="11.42578125" defaultRowHeight="15"/>
  <cols>
    <col min="1" max="1" width="21.5703125" bestFit="1" customWidth="1"/>
    <col min="2" max="2" width="24.42578125" customWidth="1"/>
    <col min="3" max="3" width="24.85546875" customWidth="1"/>
    <col min="4" max="4" width="29.7109375" customWidth="1"/>
  </cols>
  <sheetData>
    <row r="1" spans="1:4" ht="39.950000000000003" customHeight="1" thickBot="1">
      <c r="A1" s="173" t="s">
        <v>0</v>
      </c>
      <c r="B1" s="174" t="s">
        <v>311</v>
      </c>
      <c r="C1" s="174" t="s">
        <v>312</v>
      </c>
      <c r="D1" s="175" t="s">
        <v>2</v>
      </c>
    </row>
    <row r="2" spans="1:4" ht="32.1" customHeight="1">
      <c r="A2" s="171" t="s">
        <v>20</v>
      </c>
      <c r="B2" s="178" t="s">
        <v>25</v>
      </c>
      <c r="C2" s="176" t="s">
        <v>22</v>
      </c>
      <c r="D2" s="172" t="s">
        <v>22</v>
      </c>
    </row>
    <row r="3" spans="1:4" ht="32.1" customHeight="1">
      <c r="A3" s="159" t="s">
        <v>30</v>
      </c>
      <c r="B3" s="179" t="s">
        <v>35</v>
      </c>
      <c r="C3" s="177"/>
      <c r="D3" s="160"/>
    </row>
    <row r="4" spans="1:4" ht="32.1" customHeight="1">
      <c r="A4" s="159" t="s">
        <v>41</v>
      </c>
      <c r="B4" s="179" t="s">
        <v>46</v>
      </c>
      <c r="C4" s="177" t="s">
        <v>22</v>
      </c>
      <c r="D4" s="160" t="s">
        <v>22</v>
      </c>
    </row>
    <row r="5" spans="1:4" ht="32.1" customHeight="1">
      <c r="A5" s="159" t="s">
        <v>236</v>
      </c>
      <c r="B5" s="180" t="s">
        <v>313</v>
      </c>
      <c r="C5" s="184" t="s">
        <v>314</v>
      </c>
      <c r="D5" s="161" t="s">
        <v>42</v>
      </c>
    </row>
    <row r="6" spans="1:4" ht="32.1" customHeight="1">
      <c r="A6" s="159" t="s">
        <v>50</v>
      </c>
      <c r="B6" s="180" t="s">
        <v>55</v>
      </c>
      <c r="C6" s="185" t="s">
        <v>315</v>
      </c>
      <c r="D6" s="162" t="s">
        <v>51</v>
      </c>
    </row>
    <row r="7" spans="1:4" ht="32.1" customHeight="1">
      <c r="A7" s="159" t="s">
        <v>59</v>
      </c>
      <c r="B7" s="180" t="s">
        <v>63</v>
      </c>
      <c r="C7" s="185" t="s">
        <v>316</v>
      </c>
      <c r="D7" s="162" t="s">
        <v>51</v>
      </c>
    </row>
    <row r="8" spans="1:4" ht="32.1" customHeight="1">
      <c r="A8" s="159" t="s">
        <v>279</v>
      </c>
      <c r="B8" s="180" t="s">
        <v>81</v>
      </c>
      <c r="C8" s="185" t="s">
        <v>317</v>
      </c>
      <c r="D8" s="163" t="s">
        <v>77</v>
      </c>
    </row>
    <row r="9" spans="1:4" ht="32.1" customHeight="1">
      <c r="A9" s="159" t="s">
        <v>86</v>
      </c>
      <c r="B9" s="180" t="s">
        <v>90</v>
      </c>
      <c r="C9" s="185" t="s">
        <v>318</v>
      </c>
      <c r="D9" s="162" t="s">
        <v>51</v>
      </c>
    </row>
    <row r="10" spans="1:4" ht="32.1" customHeight="1">
      <c r="A10" s="159" t="s">
        <v>95</v>
      </c>
      <c r="B10" s="180" t="s">
        <v>98</v>
      </c>
      <c r="C10" s="185" t="s">
        <v>319</v>
      </c>
      <c r="D10" s="163" t="s">
        <v>77</v>
      </c>
    </row>
    <row r="11" spans="1:4" ht="32.1" customHeight="1">
      <c r="A11" s="159" t="s">
        <v>101</v>
      </c>
      <c r="B11" s="180" t="s">
        <v>105</v>
      </c>
      <c r="C11" s="185" t="s">
        <v>320</v>
      </c>
      <c r="D11" s="163" t="s">
        <v>77</v>
      </c>
    </row>
    <row r="12" spans="1:4" ht="32.1" customHeight="1">
      <c r="A12" s="159" t="s">
        <v>109</v>
      </c>
      <c r="B12" s="180" t="s">
        <v>114</v>
      </c>
      <c r="C12" s="185" t="s">
        <v>321</v>
      </c>
      <c r="D12" s="164" t="s">
        <v>110</v>
      </c>
    </row>
    <row r="13" spans="1:4" ht="32.1" customHeight="1">
      <c r="A13" s="159" t="s">
        <v>322</v>
      </c>
      <c r="B13" s="181">
        <v>706588606</v>
      </c>
      <c r="C13" s="185" t="s">
        <v>323</v>
      </c>
      <c r="D13" s="164"/>
    </row>
    <row r="14" spans="1:4" ht="32.1" customHeight="1">
      <c r="A14" s="159" t="s">
        <v>324</v>
      </c>
      <c r="B14" s="180" t="s">
        <v>128</v>
      </c>
      <c r="C14" s="185" t="s">
        <v>325</v>
      </c>
      <c r="D14" s="163" t="s">
        <v>124</v>
      </c>
    </row>
    <row r="15" spans="1:4" ht="32.1" customHeight="1">
      <c r="A15" s="159" t="s">
        <v>245</v>
      </c>
      <c r="B15" s="180" t="s">
        <v>326</v>
      </c>
      <c r="C15" s="185" t="s">
        <v>327</v>
      </c>
      <c r="D15" s="162" t="s">
        <v>328</v>
      </c>
    </row>
    <row r="16" spans="1:4" ht="32.1" customHeight="1">
      <c r="A16" s="159" t="s">
        <v>132</v>
      </c>
      <c r="B16" s="180">
        <v>670895541</v>
      </c>
      <c r="C16" s="185" t="s">
        <v>329</v>
      </c>
      <c r="D16" s="165" t="s">
        <v>133</v>
      </c>
    </row>
    <row r="17" spans="1:4" ht="32.1" customHeight="1">
      <c r="A17" s="159" t="s">
        <v>247</v>
      </c>
      <c r="B17" s="180" t="s">
        <v>330</v>
      </c>
      <c r="C17" s="185" t="s">
        <v>331</v>
      </c>
      <c r="D17" s="161" t="s">
        <v>42</v>
      </c>
    </row>
    <row r="18" spans="1:4" ht="32.1" customHeight="1">
      <c r="A18" s="159" t="s">
        <v>144</v>
      </c>
      <c r="B18" s="180" t="s">
        <v>147</v>
      </c>
      <c r="C18" s="185" t="s">
        <v>332</v>
      </c>
      <c r="D18" s="161" t="s">
        <v>333</v>
      </c>
    </row>
    <row r="19" spans="1:4" ht="32.1" customHeight="1">
      <c r="A19" s="159" t="s">
        <v>150</v>
      </c>
      <c r="B19" s="180" t="s">
        <v>154</v>
      </c>
      <c r="C19" s="185" t="s">
        <v>334</v>
      </c>
      <c r="D19" s="161" t="s">
        <v>42</v>
      </c>
    </row>
    <row r="20" spans="1:4" ht="32.1" customHeight="1">
      <c r="A20" s="159" t="s">
        <v>249</v>
      </c>
      <c r="B20" s="180" t="s">
        <v>335</v>
      </c>
      <c r="C20" s="185" t="s">
        <v>336</v>
      </c>
      <c r="D20" s="166" t="s">
        <v>337</v>
      </c>
    </row>
    <row r="21" spans="1:4" ht="32.1" customHeight="1">
      <c r="A21" s="167" t="s">
        <v>158</v>
      </c>
      <c r="B21" s="182">
        <v>651153653</v>
      </c>
      <c r="C21" s="186" t="s">
        <v>338</v>
      </c>
      <c r="D21" s="168" t="s">
        <v>42</v>
      </c>
    </row>
    <row r="22" spans="1:4" ht="32.1" customHeight="1" thickBot="1">
      <c r="A22" s="169" t="s">
        <v>165</v>
      </c>
      <c r="B22" s="183" t="s">
        <v>170</v>
      </c>
      <c r="C22" s="187" t="s">
        <v>339</v>
      </c>
      <c r="D22" s="170" t="s">
        <v>42</v>
      </c>
    </row>
    <row r="23" spans="1:4" ht="32.1" customHeight="1">
      <c r="A23" s="501"/>
      <c r="B23" s="501"/>
      <c r="C23" s="501"/>
      <c r="D23" s="501"/>
    </row>
  </sheetData>
  <pageMargins left="0.7" right="0.7" top="0.75" bottom="0.75" header="0.3" footer="0.3"/>
  <pageSetup paperSize="9" scale="8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86F3-5B5E-45FD-ADE9-FB6D3BE237AD}">
  <sheetPr>
    <tabColor theme="9"/>
  </sheetPr>
  <dimension ref="A1:I41"/>
  <sheetViews>
    <sheetView tabSelected="1" workbookViewId="0">
      <pane ySplit="1" topLeftCell="A10" activePane="bottomLeft" state="frozen"/>
      <selection pane="bottomLeft" activeCell="H18" sqref="H18"/>
    </sheetView>
  </sheetViews>
  <sheetFormatPr defaultColWidth="11.42578125" defaultRowHeight="15"/>
  <cols>
    <col min="1" max="1" width="31" style="225" customWidth="1"/>
    <col min="2" max="2" width="32.85546875" style="225" customWidth="1"/>
    <col min="3" max="3" width="27" style="225" customWidth="1"/>
    <col min="4" max="4" width="22.7109375" style="225" customWidth="1"/>
    <col min="5" max="5" width="19" style="225" bestFit="1" customWidth="1"/>
    <col min="6" max="8" width="11.42578125" style="225"/>
    <col min="9" max="9" width="13.28515625" style="225" customWidth="1"/>
    <col min="10" max="16384" width="11.42578125" style="225"/>
  </cols>
  <sheetData>
    <row r="1" spans="1:9" ht="25.5" customHeight="1">
      <c r="A1" s="396" t="s">
        <v>340</v>
      </c>
      <c r="B1" s="397" t="s">
        <v>341</v>
      </c>
      <c r="C1" s="397" t="s">
        <v>342</v>
      </c>
      <c r="D1" s="397" t="s">
        <v>343</v>
      </c>
      <c r="E1" s="398" t="s">
        <v>344</v>
      </c>
      <c r="I1" s="507" t="s">
        <v>345</v>
      </c>
    </row>
    <row r="2" spans="1:9" ht="20.100000000000001" customHeight="1">
      <c r="A2" s="399" t="s">
        <v>346</v>
      </c>
      <c r="B2" s="190" t="s">
        <v>347</v>
      </c>
      <c r="C2" s="190" t="s">
        <v>348</v>
      </c>
      <c r="D2" s="233" t="s">
        <v>349</v>
      </c>
      <c r="E2" s="400"/>
    </row>
    <row r="3" spans="1:9" ht="20.100000000000001" customHeight="1">
      <c r="A3" s="399" t="s">
        <v>39</v>
      </c>
      <c r="B3" s="190" t="s">
        <v>350</v>
      </c>
      <c r="C3" s="190" t="s">
        <v>348</v>
      </c>
      <c r="D3" s="233" t="s">
        <v>349</v>
      </c>
      <c r="E3" s="400">
        <v>4100076072</v>
      </c>
    </row>
    <row r="4" spans="1:9" ht="20.100000000000001" customHeight="1">
      <c r="A4" s="399" t="s">
        <v>351</v>
      </c>
      <c r="B4" s="191" t="s">
        <v>352</v>
      </c>
      <c r="C4" s="190" t="s">
        <v>348</v>
      </c>
      <c r="D4" s="233" t="s">
        <v>349</v>
      </c>
      <c r="E4" s="400"/>
      <c r="G4" s="225" t="s">
        <v>353</v>
      </c>
    </row>
    <row r="5" spans="1:9" ht="20.100000000000001" customHeight="1">
      <c r="A5" s="399" t="s">
        <v>354</v>
      </c>
      <c r="B5" s="190" t="s">
        <v>355</v>
      </c>
      <c r="C5" s="190" t="s">
        <v>348</v>
      </c>
      <c r="D5" s="233" t="s">
        <v>349</v>
      </c>
      <c r="E5" s="400"/>
    </row>
    <row r="6" spans="1:9" ht="20.100000000000001" customHeight="1">
      <c r="A6" s="399" t="s">
        <v>356</v>
      </c>
      <c r="B6" s="190" t="s">
        <v>357</v>
      </c>
      <c r="C6" s="190" t="s">
        <v>348</v>
      </c>
      <c r="D6" s="233" t="s">
        <v>349</v>
      </c>
      <c r="E6" s="400"/>
    </row>
    <row r="7" spans="1:9" ht="20.100000000000001" customHeight="1">
      <c r="A7" s="399" t="s">
        <v>358</v>
      </c>
      <c r="B7" s="191" t="s">
        <v>357</v>
      </c>
      <c r="C7" s="190" t="s">
        <v>359</v>
      </c>
      <c r="D7" s="233" t="s">
        <v>349</v>
      </c>
      <c r="E7" s="400"/>
      <c r="F7" s="225" t="s">
        <v>360</v>
      </c>
    </row>
    <row r="8" spans="1:9" ht="20.100000000000001" customHeight="1">
      <c r="A8" s="399" t="s">
        <v>361</v>
      </c>
      <c r="B8" s="190" t="s">
        <v>362</v>
      </c>
      <c r="C8" s="192">
        <v>12275100001</v>
      </c>
      <c r="D8" s="233" t="s">
        <v>349</v>
      </c>
      <c r="E8" s="400"/>
    </row>
    <row r="9" spans="1:9" ht="20.100000000000001" customHeight="1">
      <c r="A9" s="399" t="s">
        <v>363</v>
      </c>
      <c r="B9" s="190" t="s">
        <v>364</v>
      </c>
      <c r="C9" s="192" t="s">
        <v>365</v>
      </c>
      <c r="D9" s="190" t="s">
        <v>366</v>
      </c>
      <c r="E9" s="400"/>
    </row>
    <row r="10" spans="1:9" ht="20.100000000000001" customHeight="1">
      <c r="A10" s="401" t="s">
        <v>367</v>
      </c>
      <c r="B10" s="356" t="s">
        <v>368</v>
      </c>
      <c r="C10" s="358" t="s">
        <v>369</v>
      </c>
      <c r="D10" s="357" t="s">
        <v>349</v>
      </c>
      <c r="E10" s="402"/>
    </row>
    <row r="11" spans="1:9" ht="20.100000000000001" customHeight="1">
      <c r="A11" s="399" t="s">
        <v>370</v>
      </c>
      <c r="B11" s="190" t="s">
        <v>371</v>
      </c>
      <c r="C11" s="190" t="s">
        <v>348</v>
      </c>
      <c r="D11" s="234" t="s">
        <v>349</v>
      </c>
      <c r="E11" s="403"/>
      <c r="H11" s="507" t="s">
        <v>372</v>
      </c>
      <c r="I11" s="507" t="s">
        <v>373</v>
      </c>
    </row>
    <row r="12" spans="1:9" ht="20.100000000000001" customHeight="1">
      <c r="A12" s="399" t="s">
        <v>374</v>
      </c>
      <c r="B12" s="190" t="s">
        <v>375</v>
      </c>
      <c r="C12" s="193" t="s">
        <v>348</v>
      </c>
      <c r="D12" s="357" t="s">
        <v>349</v>
      </c>
      <c r="E12" s="402"/>
      <c r="H12" s="235"/>
      <c r="I12" s="235"/>
    </row>
    <row r="13" spans="1:9" ht="20.100000000000001" customHeight="1">
      <c r="A13" s="399" t="s">
        <v>376</v>
      </c>
      <c r="B13" s="190" t="s">
        <v>377</v>
      </c>
      <c r="C13" s="193" t="s">
        <v>348</v>
      </c>
      <c r="D13" s="234" t="s">
        <v>349</v>
      </c>
      <c r="E13" s="403"/>
      <c r="H13" s="235"/>
      <c r="I13" s="235"/>
    </row>
    <row r="14" spans="1:9" ht="20.100000000000001" customHeight="1">
      <c r="A14" s="404" t="s">
        <v>378</v>
      </c>
      <c r="B14" s="190" t="s">
        <v>379</v>
      </c>
      <c r="C14" s="193" t="s">
        <v>348</v>
      </c>
      <c r="D14" s="357" t="s">
        <v>349</v>
      </c>
      <c r="E14" s="402"/>
      <c r="H14" s="235"/>
      <c r="I14" s="235"/>
    </row>
    <row r="15" spans="1:9" ht="20.100000000000001" customHeight="1">
      <c r="A15" s="399" t="s">
        <v>380</v>
      </c>
      <c r="B15" s="190" t="s">
        <v>381</v>
      </c>
      <c r="C15" s="192" t="s">
        <v>382</v>
      </c>
      <c r="D15" s="234" t="s">
        <v>349</v>
      </c>
      <c r="E15" s="403"/>
      <c r="H15" s="235"/>
      <c r="I15" s="235"/>
    </row>
    <row r="16" spans="1:9" ht="15.75">
      <c r="A16" s="399" t="s">
        <v>383</v>
      </c>
      <c r="B16" s="190" t="s">
        <v>384</v>
      </c>
      <c r="C16" s="190" t="s">
        <v>385</v>
      </c>
      <c r="D16" s="190" t="s">
        <v>386</v>
      </c>
      <c r="E16" s="400"/>
      <c r="H16" s="235"/>
      <c r="I16" s="235"/>
    </row>
    <row r="17" spans="1:5" ht="15.75">
      <c r="A17" s="399" t="s">
        <v>387</v>
      </c>
      <c r="B17" s="190" t="s">
        <v>388</v>
      </c>
      <c r="C17" s="192" t="s">
        <v>389</v>
      </c>
      <c r="D17" s="190" t="s">
        <v>390</v>
      </c>
      <c r="E17" s="194" t="s">
        <v>391</v>
      </c>
    </row>
    <row r="18" spans="1:5" ht="15.75">
      <c r="A18" s="399" t="s">
        <v>392</v>
      </c>
      <c r="B18" s="190" t="s">
        <v>393</v>
      </c>
      <c r="C18" s="190" t="s">
        <v>348</v>
      </c>
      <c r="D18" s="233" t="s">
        <v>349</v>
      </c>
      <c r="E18" s="194"/>
    </row>
    <row r="19" spans="1:5" ht="15.75">
      <c r="A19" s="399" t="s">
        <v>394</v>
      </c>
      <c r="B19" s="191" t="s">
        <v>395</v>
      </c>
      <c r="C19" s="190" t="s">
        <v>348</v>
      </c>
      <c r="D19" s="233" t="s">
        <v>349</v>
      </c>
      <c r="E19" s="405"/>
    </row>
    <row r="20" spans="1:5" ht="18" customHeight="1">
      <c r="A20" s="404" t="s">
        <v>396</v>
      </c>
      <c r="B20" s="190" t="s">
        <v>397</v>
      </c>
      <c r="C20" s="190" t="s">
        <v>348</v>
      </c>
      <c r="D20" s="233" t="s">
        <v>349</v>
      </c>
      <c r="E20" s="405"/>
    </row>
    <row r="21" spans="1:5" ht="15.75">
      <c r="A21" s="399" t="s">
        <v>398</v>
      </c>
      <c r="B21" s="192"/>
      <c r="C21" s="190" t="s">
        <v>348</v>
      </c>
      <c r="D21" s="233" t="s">
        <v>349</v>
      </c>
      <c r="E21" s="405"/>
    </row>
    <row r="22" spans="1:5" ht="15.75">
      <c r="A22" s="399" t="s">
        <v>399</v>
      </c>
      <c r="B22" s="192" t="s">
        <v>400</v>
      </c>
      <c r="C22" s="190" t="s">
        <v>401</v>
      </c>
      <c r="D22" s="233" t="s">
        <v>402</v>
      </c>
      <c r="E22" s="405"/>
    </row>
    <row r="23" spans="1:5" ht="15.75">
      <c r="A23" s="399" t="s">
        <v>403</v>
      </c>
      <c r="B23" s="192" t="s">
        <v>404</v>
      </c>
      <c r="C23" s="190" t="s">
        <v>385</v>
      </c>
      <c r="D23" s="233" t="s">
        <v>402</v>
      </c>
      <c r="E23" s="405"/>
    </row>
    <row r="24" spans="1:5" ht="15.75">
      <c r="A24" s="399" t="s">
        <v>405</v>
      </c>
      <c r="B24" s="190" t="s">
        <v>406</v>
      </c>
      <c r="C24" s="190" t="s">
        <v>348</v>
      </c>
      <c r="D24" s="233" t="s">
        <v>349</v>
      </c>
      <c r="E24" s="405"/>
    </row>
    <row r="25" spans="1:5" ht="15.75">
      <c r="A25" s="399" t="s">
        <v>407</v>
      </c>
      <c r="B25" s="362"/>
      <c r="C25" s="192"/>
      <c r="D25" s="192" t="s">
        <v>408</v>
      </c>
      <c r="E25" s="405"/>
    </row>
    <row r="26" spans="1:5" ht="15.75">
      <c r="A26" s="399" t="s">
        <v>409</v>
      </c>
      <c r="B26" s="191" t="s">
        <v>410</v>
      </c>
      <c r="C26" s="190" t="s">
        <v>348</v>
      </c>
      <c r="D26" s="361" t="s">
        <v>349</v>
      </c>
      <c r="E26" s="405"/>
    </row>
    <row r="27" spans="1:5" ht="15.75">
      <c r="A27" s="399" t="s">
        <v>411</v>
      </c>
      <c r="B27" s="191" t="s">
        <v>410</v>
      </c>
      <c r="C27" s="190" t="s">
        <v>385</v>
      </c>
      <c r="D27" s="233" t="s">
        <v>386</v>
      </c>
      <c r="E27" s="405"/>
    </row>
    <row r="28" spans="1:5" ht="15.75">
      <c r="A28" s="399" t="s">
        <v>412</v>
      </c>
      <c r="B28" s="191" t="s">
        <v>413</v>
      </c>
      <c r="C28" s="190" t="s">
        <v>401</v>
      </c>
      <c r="D28" s="192" t="s">
        <v>414</v>
      </c>
      <c r="E28" s="405"/>
    </row>
    <row r="29" spans="1:5" ht="15.75">
      <c r="A29" s="467" t="s">
        <v>415</v>
      </c>
      <c r="B29" s="190" t="s">
        <v>416</v>
      </c>
      <c r="C29" s="190" t="s">
        <v>348</v>
      </c>
      <c r="D29" s="192" t="s">
        <v>417</v>
      </c>
      <c r="E29" s="405"/>
    </row>
    <row r="30" spans="1:5" ht="15.75">
      <c r="A30" s="399" t="s">
        <v>418</v>
      </c>
      <c r="B30" s="192" t="s">
        <v>419</v>
      </c>
      <c r="C30" s="190" t="s">
        <v>348</v>
      </c>
      <c r="D30" s="190" t="s">
        <v>386</v>
      </c>
      <c r="E30" s="405"/>
    </row>
    <row r="31" spans="1:5" ht="15.75">
      <c r="A31" s="399" t="s">
        <v>420</v>
      </c>
      <c r="B31" s="192"/>
      <c r="C31" s="190" t="s">
        <v>348</v>
      </c>
      <c r="D31" s="190" t="s">
        <v>386</v>
      </c>
      <c r="E31" s="405"/>
    </row>
    <row r="32" spans="1:5" ht="15.75">
      <c r="A32" s="399" t="s">
        <v>421</v>
      </c>
      <c r="B32" s="192"/>
      <c r="C32" s="190" t="s">
        <v>348</v>
      </c>
      <c r="D32" s="190" t="s">
        <v>386</v>
      </c>
      <c r="E32" s="405"/>
    </row>
    <row r="33" spans="1:5" ht="15.75">
      <c r="A33" s="399" t="s">
        <v>422</v>
      </c>
      <c r="B33" s="236" t="s">
        <v>423</v>
      </c>
      <c r="C33" s="361" t="s">
        <v>348</v>
      </c>
      <c r="D33" s="235" t="s">
        <v>424</v>
      </c>
      <c r="E33" s="406"/>
    </row>
    <row r="34" spans="1:5" ht="20.100000000000001" customHeight="1">
      <c r="A34" s="399" t="s">
        <v>425</v>
      </c>
      <c r="B34" s="190"/>
      <c r="C34" s="356"/>
      <c r="D34" s="357"/>
      <c r="E34" s="402"/>
    </row>
    <row r="35" spans="1:5" ht="15.75">
      <c r="A35" s="399" t="s">
        <v>426</v>
      </c>
      <c r="B35" s="192"/>
      <c r="C35" s="192"/>
      <c r="D35" s="192"/>
      <c r="E35" s="405"/>
    </row>
    <row r="36" spans="1:5" ht="15.75">
      <c r="A36" s="399" t="s">
        <v>427</v>
      </c>
      <c r="B36" s="190" t="s">
        <v>428</v>
      </c>
      <c r="C36" s="192" t="s">
        <v>353</v>
      </c>
      <c r="D36" s="192"/>
      <c r="E36" s="405" t="s">
        <v>429</v>
      </c>
    </row>
    <row r="37" spans="1:5" ht="15.75">
      <c r="A37" s="399" t="s">
        <v>430</v>
      </c>
      <c r="B37" s="190" t="s">
        <v>350</v>
      </c>
      <c r="C37" s="368" t="s">
        <v>359</v>
      </c>
      <c r="D37" s="368" t="s">
        <v>402</v>
      </c>
      <c r="E37" s="406"/>
    </row>
    <row r="38" spans="1:5" ht="15.75">
      <c r="A38" s="399" t="s">
        <v>431</v>
      </c>
      <c r="B38" s="235"/>
      <c r="C38" s="235" t="s">
        <v>348</v>
      </c>
      <c r="D38" s="368" t="s">
        <v>386</v>
      </c>
      <c r="E38" s="406"/>
    </row>
    <row r="39" spans="1:5" ht="31.5">
      <c r="A39" s="407" t="s">
        <v>432</v>
      </c>
      <c r="B39" s="235"/>
      <c r="C39" s="363" t="s">
        <v>433</v>
      </c>
      <c r="D39" s="235"/>
      <c r="E39" s="406"/>
    </row>
    <row r="40" spans="1:5" ht="15.75">
      <c r="A40" s="408" t="s">
        <v>346</v>
      </c>
      <c r="B40" s="360"/>
      <c r="C40" s="359" t="s">
        <v>359</v>
      </c>
      <c r="D40" s="359" t="s">
        <v>386</v>
      </c>
      <c r="E40" s="391"/>
    </row>
    <row r="41" spans="1:5" ht="15.75">
      <c r="A41" s="408" t="s">
        <v>434</v>
      </c>
      <c r="B41" s="360"/>
      <c r="C41" s="190" t="s">
        <v>385</v>
      </c>
      <c r="D41" s="360"/>
      <c r="E41" s="391"/>
    </row>
  </sheetData>
  <phoneticPr fontId="39" type="noConversion"/>
  <hyperlinks>
    <hyperlink ref="C4" r:id="rId1" xr:uid="{BA2112BD-940E-4E29-AD83-1C59817D6648}"/>
    <hyperlink ref="C5" r:id="rId2" xr:uid="{5B8D59FD-410A-4E63-8010-9BD588A0FAFE}"/>
    <hyperlink ref="C6" r:id="rId3" xr:uid="{FAA5930A-BBFC-4A50-BFE5-DE8A035545EF}"/>
    <hyperlink ref="C7" r:id="rId4" xr:uid="{1C398E6B-048C-4C56-BFA0-47A5226F48E8}"/>
    <hyperlink ref="D9" r:id="rId5" xr:uid="{D7AB4534-1BFB-4F4E-879C-3F3A463D7868}"/>
    <hyperlink ref="C11" r:id="rId6" xr:uid="{7D6CAF6C-AEDD-4630-8C6C-988CBA1ACA9D}"/>
    <hyperlink ref="C12" r:id="rId7" xr:uid="{2960B2CC-67CD-4E96-B8E5-F32037746571}"/>
    <hyperlink ref="C3" r:id="rId8" xr:uid="{84CB55CB-F7B9-47E7-BCD2-CDDA080AF364}"/>
    <hyperlink ref="C16" r:id="rId9" xr:uid="{3965E562-F42D-4410-8619-21A3E344FCEE}"/>
    <hyperlink ref="C2" r:id="rId10" xr:uid="{DB961AF5-FA53-4669-8870-A8CF7ABECC3D}"/>
    <hyperlink ref="C17" r:id="rId11" xr:uid="{B3C3E49B-4C35-4B49-815B-66FEFF2E412D}"/>
    <hyperlink ref="C18" r:id="rId12" xr:uid="{ED14682F-3726-4D60-A715-DBE4F369E814}"/>
    <hyperlink ref="C19" r:id="rId13" xr:uid="{92BC3981-B119-4269-9CF4-4031D65FF0E9}"/>
    <hyperlink ref="C21" r:id="rId14" xr:uid="{334B6698-3308-4B17-B2E5-F0A0206F3B45}"/>
    <hyperlink ref="C22" r:id="rId15" xr:uid="{0053CA54-BEE3-4A0D-9DFE-EC6FB0386BD3}"/>
    <hyperlink ref="C23" r:id="rId16" xr:uid="{61CF1162-5162-4F8A-9325-C818F28B166F}"/>
    <hyperlink ref="C24" r:id="rId17" xr:uid="{7BF4F790-1B3B-41C1-B6CA-FE0E48E8D839}"/>
    <hyperlink ref="C26" r:id="rId18" xr:uid="{01B43F85-3A5A-487F-B277-18AF329BC439}"/>
    <hyperlink ref="C29" r:id="rId19" xr:uid="{8F093C35-519E-4096-A101-2E54F148FBDA}"/>
    <hyperlink ref="B3" r:id="rId20" xr:uid="{58D8E97D-244B-4C7C-87A1-778BD3ECB5CE}"/>
    <hyperlink ref="B5" r:id="rId21" xr:uid="{9C94CDC8-B25B-4F59-AED2-A5A6E8723E4B}"/>
    <hyperlink ref="B2" r:id="rId22" xr:uid="{3FD7E182-E813-4BEF-ABE2-15801705C587}"/>
    <hyperlink ref="B6" r:id="rId23" xr:uid="{6E525F2B-5DCF-4D83-848D-D7803F68991B}"/>
    <hyperlink ref="B7" r:id="rId24" xr:uid="{5D534144-A236-41C7-B0C0-BEA494F270BA}"/>
    <hyperlink ref="B8" r:id="rId25" xr:uid="{4649BA1E-5C2E-4DBD-B72C-5887DA3ABC5D}"/>
    <hyperlink ref="B9" r:id="rId26" xr:uid="{A2947D7A-A1B7-463D-9544-03FC1B143B25}"/>
    <hyperlink ref="B10" r:id="rId27" xr:uid="{207E26C4-146A-4FB9-9355-8EAA5EA7D7CA}"/>
    <hyperlink ref="B11" r:id="rId28" xr:uid="{7A3BA136-229E-4620-94AD-3BC245B1F023}"/>
    <hyperlink ref="B12" r:id="rId29" xr:uid="{16693899-87EB-4580-A7C5-F7C087900BFD}"/>
    <hyperlink ref="B13" r:id="rId30" xr:uid="{3B579E6F-C54D-42BD-8102-AEE1B255364A}"/>
    <hyperlink ref="B14" r:id="rId31" xr:uid="{81F3955E-7B0F-4534-92FA-B700CB1A97E7}"/>
    <hyperlink ref="B15" r:id="rId32" xr:uid="{2C858D2B-97EE-41DB-9044-590D74ADA743}"/>
    <hyperlink ref="B16" r:id="rId33" xr:uid="{98C019C8-ACD0-401E-A49C-9C0799FE3ECB}"/>
    <hyperlink ref="B17" r:id="rId34" xr:uid="{217977E4-AD8A-4624-B0B3-A21373C91BF6}"/>
    <hyperlink ref="B18" r:id="rId35" xr:uid="{C90C77FD-CFB4-4EA9-AFF4-C07988BC55A7}"/>
    <hyperlink ref="B20" r:id="rId36" display="www.go.tradeshift.com" xr:uid="{06D9D062-ECE2-428E-9865-F2127E4C7150}"/>
    <hyperlink ref="B24" r:id="rId37" xr:uid="{BE271D93-FE3C-41C1-AF74-5A89653F781D}"/>
    <hyperlink ref="B29" r:id="rId38" display="www.fr.aliexpress.com" xr:uid="{D0D1743B-57BA-4DA1-A624-E43D3FD428DB}"/>
    <hyperlink ref="C13:C14" r:id="rId39" display="saflogistique@hotmail.com" xr:uid="{AD1685DF-8799-4601-832D-CDCEA0A09F61}"/>
    <hyperlink ref="B19" r:id="rId40" xr:uid="{ED0DF338-EF5C-44C5-8FEA-CD6A668D82FD}"/>
    <hyperlink ref="B36" r:id="rId41" xr:uid="{67B1ADF4-B38D-42AA-B3A8-923F8737CD30}"/>
    <hyperlink ref="B4" r:id="rId42" xr:uid="{E191471D-8715-46BC-B0F2-E3B21D0E4E37}"/>
    <hyperlink ref="B26" r:id="rId43" xr:uid="{C92BAE69-10CC-42CB-945C-1E376DA0652C}"/>
    <hyperlink ref="B28" r:id="rId44" xr:uid="{6D9948F0-8EB0-47DF-9544-0E95CFFFFA5E}"/>
    <hyperlink ref="D30" r:id="rId45" xr:uid="{77731A11-5EA1-4BC8-BDE6-0667EE8450C8}"/>
    <hyperlink ref="C30" r:id="rId46" xr:uid="{3ED1AC38-9282-4003-BBD6-8704518B91B9}"/>
    <hyperlink ref="C31" r:id="rId47" xr:uid="{15913E27-7D1F-4880-AAF1-F6F6499377AF}"/>
    <hyperlink ref="C32" r:id="rId48" xr:uid="{8465628E-E58B-4D9A-A7FB-CB4203D02454}"/>
    <hyperlink ref="D32" r:id="rId49" xr:uid="{0B2D77E3-F61D-4870-86E3-B177EEE83FB1}"/>
    <hyperlink ref="D31" r:id="rId50" xr:uid="{A38F30A3-6A1C-4AF7-8B28-4216453E7F78}"/>
    <hyperlink ref="D2" r:id="rId51" xr:uid="{8AC96DB2-F8A7-4DF9-B54D-47F4D3FB77D4}"/>
    <hyperlink ref="D3:D4" r:id="rId52" display="Saflog@20242025" xr:uid="{E0CCA651-E61F-463D-9B18-D98235166E47}"/>
    <hyperlink ref="D6" r:id="rId53" xr:uid="{9FBD27C8-05BD-4F31-BAA3-5411B4B078B5}"/>
    <hyperlink ref="D10" r:id="rId54" xr:uid="{64B0E5B6-2697-4010-8EAC-8BD4D618D637}"/>
    <hyperlink ref="D18" r:id="rId55" xr:uid="{F44466B1-1251-4400-B21B-B50EFFA4639C}"/>
    <hyperlink ref="D19:D20" r:id="rId56" display="Saflog@20242025" xr:uid="{DF6E67E5-F3D0-41B4-871F-D8B49E8388EB}"/>
    <hyperlink ref="D21" r:id="rId57" xr:uid="{39B00CCA-9258-47F8-AC12-338E5DA37733}"/>
    <hyperlink ref="D24" r:id="rId58" xr:uid="{BCBDA257-1F66-45B8-A22D-5D0741B15F43}"/>
    <hyperlink ref="D26" r:id="rId59" xr:uid="{AB5FAECD-AF45-4392-804C-F249F056CF22}"/>
    <hyperlink ref="D7" r:id="rId60" xr:uid="{9120050F-E872-43D2-8BB7-E53EC5720B73}"/>
    <hyperlink ref="B33" r:id="rId61" xr:uid="{E812824A-45B0-417B-BE0A-8157EA3267E9}"/>
    <hyperlink ref="C33" r:id="rId62" xr:uid="{A5FC0FDD-5BED-4DB1-8A1C-9A00C6EE47AD}"/>
    <hyperlink ref="C20" r:id="rId63" xr:uid="{40F9B259-7AF3-490C-BDB3-50645C680F43}"/>
    <hyperlink ref="C28" r:id="rId64" xr:uid="{1DBF3F94-8E97-4A27-9223-76364920C7BB}"/>
    <hyperlink ref="C27" r:id="rId65" xr:uid="{758739EC-8950-4BED-A4BB-0E008035A8B8}"/>
    <hyperlink ref="D27" r:id="rId66" xr:uid="{22B69608-AF92-4566-9652-32794B4E559E}"/>
    <hyperlink ref="D8" r:id="rId67" xr:uid="{22C8DC86-B6D4-4AD8-ADE7-052DFB6DF1AC}"/>
    <hyperlink ref="D5" r:id="rId68" xr:uid="{3A20D10E-5B9F-4003-9A29-2365FD568D8D}"/>
    <hyperlink ref="D3" r:id="rId69" xr:uid="{56B4F27B-D8AF-4068-BCF6-0704C43B4D77}"/>
    <hyperlink ref="C37" r:id="rId70" xr:uid="{F853A698-1DA4-4D0D-AEB5-F4E7BAA0DAA8}"/>
    <hyperlink ref="D37" r:id="rId71" xr:uid="{22E21819-A42C-42EF-9BC4-0234EB6F601A}"/>
    <hyperlink ref="B37" r:id="rId72" xr:uid="{606EF8AA-1197-4E58-8C32-8D2824B65B8D}"/>
    <hyperlink ref="D38" r:id="rId73" xr:uid="{98BAF742-065F-4C41-A0BB-C12058FB1058}"/>
    <hyperlink ref="C39" r:id="rId74" xr:uid="{386A97BB-46A1-46BF-AF3B-E407145F984F}"/>
    <hyperlink ref="D40" r:id="rId75" xr:uid="{443DB3EB-35A0-4F98-9CA9-A45417D5DB25}"/>
    <hyperlink ref="C40" r:id="rId76" xr:uid="{6B42C859-E2C6-46A8-9C64-8914910F3CF2}"/>
    <hyperlink ref="D22" r:id="rId77" xr:uid="{30B709A1-D868-4D18-AC7F-DECF31D00FE7}"/>
    <hyperlink ref="C41" r:id="rId78" xr:uid="{02335786-4D1F-40A3-BB74-59AB934AF12C}"/>
    <hyperlink ref="D23" r:id="rId79" xr:uid="{FA6CD85B-8AE0-44E2-B0FF-347EB3A5119E}"/>
  </hyperlinks>
  <pageMargins left="0.23622047244094491" right="0.23622047244094491" top="0.74803149606299213" bottom="0.74803149606299213" header="0.31496062992125984" footer="0.31496062992125984"/>
  <pageSetup paperSize="9" scale="50" orientation="portrait" r:id="rId80"/>
  <ignoredErrors>
    <ignoredError sqref="I11" numberStoredAsText="1"/>
  </ignoredErrors>
  <tableParts count="1">
    <tablePart r:id="rId8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B77C-8477-4913-B2CF-5E2F1FB37174}">
  <sheetPr>
    <tabColor rgb="FFFF0000"/>
  </sheetPr>
  <dimension ref="A1:D4"/>
  <sheetViews>
    <sheetView workbookViewId="0">
      <selection activeCell="F10" sqref="F10"/>
    </sheetView>
  </sheetViews>
  <sheetFormatPr defaultColWidth="11.42578125" defaultRowHeight="15"/>
  <cols>
    <col min="1" max="1" width="21.28515625" bestFit="1" customWidth="1"/>
    <col min="2" max="2" width="41.42578125" customWidth="1"/>
    <col min="3" max="3" width="38.5703125" bestFit="1" customWidth="1"/>
    <col min="4" max="4" width="50.28515625" bestFit="1" customWidth="1"/>
    <col min="5" max="5" width="32.28515625" customWidth="1"/>
  </cols>
  <sheetData>
    <row r="1" spans="1:4" ht="54.75">
      <c r="B1" s="155" t="s">
        <v>435</v>
      </c>
      <c r="C1" s="156" t="s">
        <v>436</v>
      </c>
      <c r="D1" s="156" t="s">
        <v>437</v>
      </c>
    </row>
    <row r="2" spans="1:4" ht="88.5" customHeight="1">
      <c r="A2" s="158" t="s">
        <v>21</v>
      </c>
      <c r="B2" s="154" t="s">
        <v>348</v>
      </c>
      <c r="C2" s="210" t="s">
        <v>438</v>
      </c>
      <c r="D2" s="154" t="s">
        <v>439</v>
      </c>
    </row>
    <row r="3" spans="1:4" ht="63" customHeight="1">
      <c r="A3" s="157" t="s">
        <v>76</v>
      </c>
      <c r="B3" s="154" t="s">
        <v>359</v>
      </c>
      <c r="C3" s="210" t="s">
        <v>440</v>
      </c>
      <c r="D3" s="154" t="s">
        <v>441</v>
      </c>
    </row>
    <row r="4" spans="1:4" ht="85.5" customHeight="1">
      <c r="A4" s="157" t="s">
        <v>442</v>
      </c>
      <c r="B4" s="154" t="s">
        <v>385</v>
      </c>
      <c r="C4" s="210" t="s">
        <v>443</v>
      </c>
      <c r="D4" s="154" t="s">
        <v>444</v>
      </c>
    </row>
  </sheetData>
  <hyperlinks>
    <hyperlink ref="B2" r:id="rId1" xr:uid="{26289C17-F7D4-45E9-94B2-EF9621F57FE3}"/>
    <hyperlink ref="B3" r:id="rId2" xr:uid="{CE51131D-EBFB-4ABC-9771-5EF05B3B374B}"/>
    <hyperlink ref="B4" r:id="rId3" xr:uid="{2BC0C641-D955-4B50-91FB-17F02B72F3EB}"/>
    <hyperlink ref="C3" r:id="rId4" xr:uid="{0C0FA907-7FD7-445C-B56A-5989E13E287C}"/>
    <hyperlink ref="D3" r:id="rId5" xr:uid="{41B0C22D-C82A-4DCB-B230-18180AF05DE8}"/>
    <hyperlink ref="D2" r:id="rId6" xr:uid="{C96826F1-EF1D-4B30-8472-FF9DB9D96CE2}"/>
    <hyperlink ref="C4" r:id="rId7" xr:uid="{4B8D60B7-996C-402F-AC74-161469EC305C}"/>
    <hyperlink ref="D4" r:id="rId8" xr:uid="{3CA78F33-81DF-49C8-B204-F5C537B7EEB4}"/>
    <hyperlink ref="C2" r:id="rId9" xr:uid="{B6899E86-7A89-4492-B54F-3BEA12E08FA7}"/>
  </hyperlinks>
  <pageMargins left="0.7" right="0.7" top="0.75" bottom="0.75" header="0.3" footer="0.3"/>
  <pageSetup paperSize="9" orientation="landscape" horizontalDpi="360" verticalDpi="360"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B3D6-A1A6-4BB0-8A9C-27FF9B5858AC}">
  <sheetPr>
    <pageSetUpPr fitToPage="1"/>
  </sheetPr>
  <dimension ref="A1:K27"/>
  <sheetViews>
    <sheetView workbookViewId="0">
      <selection activeCell="E25" sqref="E25"/>
    </sheetView>
  </sheetViews>
  <sheetFormatPr defaultColWidth="11.42578125" defaultRowHeight="15"/>
  <cols>
    <col min="1" max="1" width="29.7109375" customWidth="1"/>
    <col min="2" max="2" width="18.7109375" style="20" customWidth="1"/>
    <col min="3" max="3" width="11.42578125" customWidth="1"/>
    <col min="5" max="5" width="47" bestFit="1" customWidth="1"/>
    <col min="6" max="6" width="32.7109375" bestFit="1" customWidth="1"/>
    <col min="7" max="7" width="30.42578125" bestFit="1" customWidth="1"/>
  </cols>
  <sheetData>
    <row r="1" spans="1:11" ht="28.5">
      <c r="A1" s="123" t="s">
        <v>0</v>
      </c>
      <c r="B1" s="226" t="s">
        <v>1</v>
      </c>
      <c r="E1" s="213" t="s">
        <v>445</v>
      </c>
      <c r="F1" s="213" t="s">
        <v>446</v>
      </c>
      <c r="G1" s="213" t="s">
        <v>447</v>
      </c>
      <c r="I1" s="213" t="s">
        <v>445</v>
      </c>
      <c r="J1" s="213" t="s">
        <v>446</v>
      </c>
      <c r="K1" s="213" t="s">
        <v>447</v>
      </c>
    </row>
    <row r="2" spans="1:11" ht="28.5">
      <c r="A2" s="227" t="s">
        <v>20</v>
      </c>
      <c r="B2" s="228" t="s">
        <v>21</v>
      </c>
      <c r="E2" s="214" t="s">
        <v>318</v>
      </c>
      <c r="F2" s="214" t="s">
        <v>448</v>
      </c>
      <c r="G2" s="366" t="s">
        <v>76</v>
      </c>
      <c r="I2" s="214" t="s">
        <v>318</v>
      </c>
      <c r="J2" s="214" t="s">
        <v>449</v>
      </c>
      <c r="K2" s="366" t="s">
        <v>76</v>
      </c>
    </row>
    <row r="3" spans="1:11" ht="28.5">
      <c r="A3" s="227" t="s">
        <v>30</v>
      </c>
      <c r="B3" s="229" t="s">
        <v>31</v>
      </c>
      <c r="E3" s="215" t="s">
        <v>450</v>
      </c>
      <c r="F3" s="215" t="s">
        <v>449</v>
      </c>
      <c r="G3" s="366" t="s">
        <v>76</v>
      </c>
      <c r="I3" s="215" t="s">
        <v>450</v>
      </c>
      <c r="J3" s="215" t="s">
        <v>449</v>
      </c>
      <c r="K3" s="366" t="s">
        <v>76</v>
      </c>
    </row>
    <row r="4" spans="1:11" ht="28.5">
      <c r="A4" s="227" t="s">
        <v>41</v>
      </c>
      <c r="B4" s="228" t="s">
        <v>21</v>
      </c>
      <c r="E4" s="215" t="s">
        <v>315</v>
      </c>
      <c r="F4" s="215" t="s">
        <v>449</v>
      </c>
      <c r="G4" s="366" t="s">
        <v>76</v>
      </c>
      <c r="I4" s="215" t="s">
        <v>315</v>
      </c>
      <c r="J4" s="215" t="s">
        <v>449</v>
      </c>
      <c r="K4" s="366" t="s">
        <v>76</v>
      </c>
    </row>
    <row r="5" spans="1:11" ht="28.5">
      <c r="A5" s="221" t="s">
        <v>50</v>
      </c>
      <c r="B5" s="222" t="s">
        <v>21</v>
      </c>
      <c r="E5" s="215" t="s">
        <v>451</v>
      </c>
      <c r="F5" s="214" t="s">
        <v>448</v>
      </c>
      <c r="G5" s="367" t="s">
        <v>76</v>
      </c>
      <c r="I5" s="215" t="s">
        <v>451</v>
      </c>
      <c r="J5" s="215" t="s">
        <v>449</v>
      </c>
      <c r="K5" s="367" t="s">
        <v>76</v>
      </c>
    </row>
    <row r="6" spans="1:11" ht="28.5">
      <c r="A6" s="221" t="s">
        <v>59</v>
      </c>
      <c r="B6" s="222" t="s">
        <v>21</v>
      </c>
      <c r="E6" s="215" t="s">
        <v>334</v>
      </c>
      <c r="F6" s="215" t="s">
        <v>449</v>
      </c>
      <c r="G6" s="367" t="s">
        <v>76</v>
      </c>
      <c r="I6" s="215" t="s">
        <v>334</v>
      </c>
      <c r="J6" s="215" t="s">
        <v>449</v>
      </c>
      <c r="K6" s="367" t="s">
        <v>76</v>
      </c>
    </row>
    <row r="7" spans="1:11" ht="28.5">
      <c r="A7" s="221" t="s">
        <v>240</v>
      </c>
      <c r="B7" s="222" t="s">
        <v>21</v>
      </c>
      <c r="E7" s="214" t="s">
        <v>452</v>
      </c>
      <c r="F7" s="214" t="s">
        <v>448</v>
      </c>
      <c r="G7" s="218" t="s">
        <v>453</v>
      </c>
      <c r="I7" s="214" t="s">
        <v>452</v>
      </c>
      <c r="J7" s="214" t="s">
        <v>448</v>
      </c>
      <c r="K7" s="218" t="s">
        <v>453</v>
      </c>
    </row>
    <row r="8" spans="1:11" ht="28.5">
      <c r="A8" s="221" t="s">
        <v>75</v>
      </c>
      <c r="B8" s="230" t="s">
        <v>31</v>
      </c>
      <c r="E8" s="214" t="s">
        <v>321</v>
      </c>
      <c r="F8" s="214" t="s">
        <v>448</v>
      </c>
      <c r="G8" s="218" t="s">
        <v>454</v>
      </c>
      <c r="I8" s="214" t="s">
        <v>321</v>
      </c>
      <c r="J8" s="214" t="s">
        <v>449</v>
      </c>
      <c r="K8" s="218" t="s">
        <v>454</v>
      </c>
    </row>
    <row r="9" spans="1:11" ht="28.5">
      <c r="A9" s="221" t="s">
        <v>86</v>
      </c>
      <c r="B9" s="222" t="s">
        <v>21</v>
      </c>
      <c r="E9" s="214" t="s">
        <v>325</v>
      </c>
      <c r="F9" s="214" t="s">
        <v>449</v>
      </c>
      <c r="G9" s="218" t="s">
        <v>454</v>
      </c>
      <c r="I9" s="214" t="s">
        <v>325</v>
      </c>
      <c r="J9" s="214" t="s">
        <v>449</v>
      </c>
      <c r="K9" s="218" t="s">
        <v>454</v>
      </c>
    </row>
    <row r="10" spans="1:11" ht="28.5">
      <c r="A10" s="221" t="s">
        <v>95</v>
      </c>
      <c r="B10" s="222" t="s">
        <v>21</v>
      </c>
      <c r="E10" s="214" t="s">
        <v>455</v>
      </c>
      <c r="F10" s="214" t="s">
        <v>456</v>
      </c>
      <c r="G10" s="218" t="s">
        <v>454</v>
      </c>
      <c r="I10" s="214" t="s">
        <v>455</v>
      </c>
      <c r="J10" s="214" t="s">
        <v>456</v>
      </c>
      <c r="K10" s="218" t="s">
        <v>454</v>
      </c>
    </row>
    <row r="11" spans="1:11" ht="28.5">
      <c r="A11" s="221" t="s">
        <v>101</v>
      </c>
      <c r="B11" s="222" t="s">
        <v>21</v>
      </c>
      <c r="E11" s="214" t="s">
        <v>320</v>
      </c>
      <c r="F11" s="214" t="s">
        <v>449</v>
      </c>
      <c r="G11" s="218" t="s">
        <v>454</v>
      </c>
      <c r="I11" s="214" t="s">
        <v>320</v>
      </c>
      <c r="J11" s="214" t="s">
        <v>449</v>
      </c>
      <c r="K11" s="218" t="s">
        <v>454</v>
      </c>
    </row>
    <row r="12" spans="1:11" ht="28.5">
      <c r="A12" s="221" t="s">
        <v>109</v>
      </c>
      <c r="B12" s="222" t="s">
        <v>21</v>
      </c>
      <c r="E12" s="214" t="s">
        <v>450</v>
      </c>
      <c r="F12" s="214" t="s">
        <v>456</v>
      </c>
      <c r="G12" s="218" t="s">
        <v>453</v>
      </c>
      <c r="I12" s="214" t="s">
        <v>450</v>
      </c>
      <c r="J12" s="214" t="s">
        <v>456</v>
      </c>
      <c r="K12" s="218" t="s">
        <v>453</v>
      </c>
    </row>
    <row r="13" spans="1:11" ht="28.5">
      <c r="A13" s="221" t="s">
        <v>117</v>
      </c>
      <c r="B13" s="222" t="s">
        <v>21</v>
      </c>
      <c r="E13" s="214" t="s">
        <v>457</v>
      </c>
      <c r="F13" s="214" t="s">
        <v>449</v>
      </c>
      <c r="G13" s="218" t="s">
        <v>453</v>
      </c>
      <c r="I13" s="214" t="s">
        <v>457</v>
      </c>
      <c r="J13" s="214" t="s">
        <v>449</v>
      </c>
      <c r="K13" s="218" t="s">
        <v>453</v>
      </c>
    </row>
    <row r="14" spans="1:11" ht="28.5">
      <c r="A14" s="221" t="s">
        <v>244</v>
      </c>
      <c r="B14" s="257" t="s">
        <v>76</v>
      </c>
      <c r="E14" s="214" t="s">
        <v>339</v>
      </c>
      <c r="F14" s="214" t="s">
        <v>449</v>
      </c>
      <c r="G14" s="218" t="s">
        <v>453</v>
      </c>
      <c r="I14" s="214" t="s">
        <v>339</v>
      </c>
      <c r="J14" s="214" t="s">
        <v>449</v>
      </c>
      <c r="K14" s="218" t="s">
        <v>453</v>
      </c>
    </row>
    <row r="15" spans="1:11" ht="28.5">
      <c r="A15" s="231" t="s">
        <v>132</v>
      </c>
      <c r="B15" s="232" t="s">
        <v>21</v>
      </c>
      <c r="E15" s="219" t="s">
        <v>329</v>
      </c>
      <c r="F15" s="214" t="s">
        <v>448</v>
      </c>
      <c r="G15" s="365" t="s">
        <v>453</v>
      </c>
      <c r="I15" s="219" t="s">
        <v>329</v>
      </c>
      <c r="J15" s="219" t="s">
        <v>449</v>
      </c>
      <c r="K15" s="365" t="s">
        <v>453</v>
      </c>
    </row>
    <row r="16" spans="1:11" ht="28.5">
      <c r="A16" s="221" t="s">
        <v>137</v>
      </c>
      <c r="B16" s="230" t="s">
        <v>31</v>
      </c>
      <c r="E16" s="214" t="s">
        <v>332</v>
      </c>
      <c r="F16" s="214" t="s">
        <v>449</v>
      </c>
      <c r="G16" s="217" t="s">
        <v>442</v>
      </c>
      <c r="I16" s="214" t="s">
        <v>332</v>
      </c>
      <c r="J16" s="214" t="s">
        <v>449</v>
      </c>
      <c r="K16" s="217" t="s">
        <v>442</v>
      </c>
    </row>
    <row r="17" spans="1:11" ht="28.5">
      <c r="A17" s="221" t="s">
        <v>144</v>
      </c>
      <c r="B17" s="222" t="s">
        <v>21</v>
      </c>
      <c r="E17" s="214" t="s">
        <v>458</v>
      </c>
      <c r="F17" s="214" t="s">
        <v>449</v>
      </c>
      <c r="G17" s="217" t="s">
        <v>442</v>
      </c>
      <c r="I17" s="214" t="s">
        <v>458</v>
      </c>
      <c r="J17" s="214" t="s">
        <v>449</v>
      </c>
      <c r="K17" s="217" t="s">
        <v>442</v>
      </c>
    </row>
    <row r="18" spans="1:11" ht="28.5">
      <c r="A18" s="221" t="s">
        <v>150</v>
      </c>
      <c r="B18" s="222" t="s">
        <v>21</v>
      </c>
      <c r="E18" s="214" t="s">
        <v>336</v>
      </c>
      <c r="F18" s="214" t="s">
        <v>449</v>
      </c>
      <c r="G18" s="217" t="s">
        <v>442</v>
      </c>
      <c r="I18" s="214" t="s">
        <v>336</v>
      </c>
      <c r="J18" s="214" t="s">
        <v>449</v>
      </c>
      <c r="K18" s="217" t="s">
        <v>442</v>
      </c>
    </row>
    <row r="19" spans="1:11" ht="28.5">
      <c r="A19" s="221" t="s">
        <v>251</v>
      </c>
      <c r="B19" s="230" t="s">
        <v>31</v>
      </c>
      <c r="E19" s="216" t="s">
        <v>314</v>
      </c>
      <c r="F19" s="216" t="s">
        <v>449</v>
      </c>
      <c r="G19" s="217" t="s">
        <v>459</v>
      </c>
      <c r="I19" s="216" t="s">
        <v>314</v>
      </c>
      <c r="J19" s="216" t="s">
        <v>449</v>
      </c>
      <c r="K19" s="217" t="s">
        <v>459</v>
      </c>
    </row>
    <row r="20" spans="1:11" ht="29.25" thickBot="1">
      <c r="A20" s="221" t="s">
        <v>165</v>
      </c>
      <c r="B20" s="230" t="s">
        <v>31</v>
      </c>
      <c r="E20" s="219" t="s">
        <v>331</v>
      </c>
      <c r="F20" s="214" t="s">
        <v>448</v>
      </c>
      <c r="G20" s="365" t="s">
        <v>453</v>
      </c>
      <c r="I20" s="219" t="s">
        <v>460</v>
      </c>
      <c r="J20" s="219" t="s">
        <v>461</v>
      </c>
      <c r="K20" s="220" t="s">
        <v>21</v>
      </c>
    </row>
    <row r="21" spans="1:11" ht="29.25" thickBot="1">
      <c r="A21" s="271" t="s">
        <v>294</v>
      </c>
      <c r="B21" s="222" t="s">
        <v>21</v>
      </c>
      <c r="E21" s="219" t="s">
        <v>460</v>
      </c>
      <c r="F21" s="214" t="s">
        <v>448</v>
      </c>
      <c r="G21" s="365" t="s">
        <v>453</v>
      </c>
      <c r="I21" s="219" t="s">
        <v>331</v>
      </c>
      <c r="J21" s="219" t="s">
        <v>461</v>
      </c>
      <c r="K21" s="463" t="s">
        <v>21</v>
      </c>
    </row>
    <row r="22" spans="1:11" ht="29.25" thickBot="1">
      <c r="A22" s="272" t="s">
        <v>296</v>
      </c>
      <c r="B22" s="230" t="s">
        <v>31</v>
      </c>
      <c r="E22" s="219" t="s">
        <v>462</v>
      </c>
      <c r="F22" s="214" t="s">
        <v>448</v>
      </c>
      <c r="G22" s="365" t="s">
        <v>453</v>
      </c>
    </row>
    <row r="23" spans="1:11" ht="28.5">
      <c r="E23" s="219" t="s">
        <v>463</v>
      </c>
      <c r="F23" s="214" t="s">
        <v>448</v>
      </c>
      <c r="G23" s="365" t="s">
        <v>453</v>
      </c>
    </row>
    <row r="27" spans="1:11">
      <c r="A27" s="231" t="s">
        <v>253</v>
      </c>
      <c r="B27" s="232" t="s">
        <v>21</v>
      </c>
    </row>
  </sheetData>
  <pageMargins left="0.7" right="0.7" top="0.75" bottom="0.75" header="0.3" footer="0.3"/>
  <pageSetup paperSize="9" scale="7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3B53F-5E2B-4741-A7F5-6D35DFA494B8}">
  <sheetPr>
    <tabColor theme="9" tint="0.39997558519241921"/>
  </sheetPr>
  <dimension ref="A1:N49"/>
  <sheetViews>
    <sheetView workbookViewId="0">
      <pane ySplit="1" topLeftCell="A2" activePane="bottomLeft" state="frozen"/>
      <selection pane="bottomLeft" activeCell="L32" sqref="L32"/>
    </sheetView>
  </sheetViews>
  <sheetFormatPr defaultColWidth="8.42578125" defaultRowHeight="26.25"/>
  <cols>
    <col min="1" max="1" width="8.42578125" style="239"/>
    <col min="2" max="2" width="17.7109375" style="239" customWidth="1"/>
    <col min="3" max="3" width="8.42578125" style="239"/>
    <col min="4" max="4" width="12.28515625" style="239" customWidth="1"/>
    <col min="5" max="5" width="8.42578125" style="239"/>
    <col min="6" max="6" width="14" style="239" customWidth="1"/>
    <col min="7" max="7" width="8.42578125" style="239"/>
    <col min="8" max="8" width="14.28515625" style="239" customWidth="1"/>
    <col min="9" max="10" width="8.42578125" style="239"/>
    <col min="11" max="11" width="18.7109375" style="239" customWidth="1"/>
    <col min="12" max="12" width="32.140625" style="239" customWidth="1"/>
    <col min="13" max="13" width="19.7109375" style="239" bestFit="1" customWidth="1"/>
    <col min="14" max="16384" width="8.42578125" style="239"/>
  </cols>
  <sheetData>
    <row r="1" spans="1:14" ht="56.25" customHeight="1" thickBot="1">
      <c r="A1" s="540" t="s">
        <v>464</v>
      </c>
      <c r="B1" s="540"/>
      <c r="C1" s="541" t="s">
        <v>465</v>
      </c>
      <c r="D1" s="541"/>
      <c r="E1" s="541" t="s">
        <v>466</v>
      </c>
      <c r="F1" s="541"/>
      <c r="G1" s="541" t="s">
        <v>467</v>
      </c>
      <c r="H1" s="541"/>
    </row>
    <row r="2" spans="1:14" ht="20.100000000000001" customHeight="1" thickBot="1">
      <c r="A2" s="525" t="s">
        <v>321</v>
      </c>
      <c r="B2" s="525"/>
      <c r="C2" s="529">
        <v>46203</v>
      </c>
      <c r="D2" s="529"/>
      <c r="E2" s="529">
        <v>46157</v>
      </c>
      <c r="F2" s="530"/>
      <c r="G2" s="531">
        <v>46163</v>
      </c>
      <c r="H2" s="532"/>
    </row>
    <row r="3" spans="1:14" ht="20.100000000000001" customHeight="1" thickBot="1">
      <c r="A3" s="525"/>
      <c r="B3" s="525"/>
      <c r="C3" s="529"/>
      <c r="D3" s="529"/>
      <c r="E3" s="530"/>
      <c r="F3" s="530"/>
      <c r="G3" s="532"/>
      <c r="H3" s="532"/>
      <c r="L3" s="242" t="s">
        <v>41</v>
      </c>
      <c r="M3" s="243"/>
      <c r="N3" s="239" t="s">
        <v>468</v>
      </c>
    </row>
    <row r="4" spans="1:14" ht="20.100000000000001" customHeight="1" thickBot="1">
      <c r="A4" s="525"/>
      <c r="B4" s="525"/>
      <c r="C4" s="529"/>
      <c r="D4" s="529"/>
      <c r="E4" s="530"/>
      <c r="F4" s="530"/>
      <c r="G4" s="532"/>
      <c r="H4" s="532"/>
      <c r="L4" s="244" t="s">
        <v>469</v>
      </c>
      <c r="M4" s="245" t="s">
        <v>314</v>
      </c>
    </row>
    <row r="5" spans="1:14" ht="20.100000000000001" customHeight="1" thickBot="1">
      <c r="A5" s="525" t="s">
        <v>315</v>
      </c>
      <c r="B5" s="525"/>
      <c r="C5" s="529">
        <v>46451</v>
      </c>
      <c r="D5" s="529"/>
      <c r="E5" s="529">
        <v>46349</v>
      </c>
      <c r="F5" s="529"/>
      <c r="G5" s="529">
        <v>46712</v>
      </c>
      <c r="H5" s="530"/>
      <c r="L5" s="244" t="s">
        <v>470</v>
      </c>
      <c r="M5" s="245" t="s">
        <v>450</v>
      </c>
    </row>
    <row r="6" spans="1:14" ht="20.100000000000001" customHeight="1" thickBot="1">
      <c r="A6" s="525"/>
      <c r="B6" s="525"/>
      <c r="C6" s="529"/>
      <c r="D6" s="529"/>
      <c r="E6" s="529"/>
      <c r="F6" s="529"/>
      <c r="G6" s="530"/>
      <c r="H6" s="530"/>
      <c r="L6" s="244" t="s">
        <v>471</v>
      </c>
      <c r="M6" s="245" t="s">
        <v>315</v>
      </c>
    </row>
    <row r="7" spans="1:14" ht="6.75" hidden="1" customHeight="1" thickBot="1">
      <c r="A7" s="525"/>
      <c r="B7" s="525"/>
      <c r="C7" s="529"/>
      <c r="D7" s="529"/>
      <c r="E7" s="529"/>
      <c r="F7" s="529"/>
      <c r="G7" s="530"/>
      <c r="H7" s="530"/>
      <c r="L7" s="244" t="s">
        <v>59</v>
      </c>
      <c r="M7" s="245" t="s">
        <v>472</v>
      </c>
    </row>
    <row r="8" spans="1:14" ht="20.100000000000001" customHeight="1" thickBot="1">
      <c r="A8" s="525" t="s">
        <v>314</v>
      </c>
      <c r="B8" s="525"/>
      <c r="C8" s="529">
        <v>46204</v>
      </c>
      <c r="D8" s="529"/>
      <c r="E8" s="529">
        <v>46192</v>
      </c>
      <c r="F8" s="529"/>
      <c r="G8" s="529">
        <v>46558</v>
      </c>
      <c r="H8" s="529"/>
      <c r="L8" s="242" t="s">
        <v>310</v>
      </c>
      <c r="M8" s="246" t="s">
        <v>462</v>
      </c>
    </row>
    <row r="9" spans="1:14" ht="20.100000000000001" customHeight="1" thickBot="1">
      <c r="A9" s="525"/>
      <c r="B9" s="525"/>
      <c r="C9" s="529"/>
      <c r="D9" s="529"/>
      <c r="E9" s="529"/>
      <c r="F9" s="529"/>
      <c r="G9" s="529"/>
      <c r="H9" s="529"/>
      <c r="L9" s="244" t="s">
        <v>473</v>
      </c>
      <c r="M9" s="245" t="s">
        <v>474</v>
      </c>
    </row>
    <row r="10" spans="1:14" ht="20.100000000000001" customHeight="1" thickBot="1">
      <c r="A10" s="525"/>
      <c r="B10" s="525"/>
      <c r="C10" s="529"/>
      <c r="D10" s="529"/>
      <c r="E10" s="529"/>
      <c r="F10" s="529"/>
      <c r="G10" s="529"/>
      <c r="H10" s="529"/>
      <c r="L10" s="242" t="s">
        <v>101</v>
      </c>
      <c r="M10" s="246" t="s">
        <v>320</v>
      </c>
    </row>
    <row r="11" spans="1:14" ht="20.100000000000001" customHeight="1" thickBot="1">
      <c r="A11" s="525" t="s">
        <v>475</v>
      </c>
      <c r="B11" s="525"/>
      <c r="C11" s="529">
        <v>46445</v>
      </c>
      <c r="D11" s="529"/>
      <c r="E11" s="529">
        <v>46302</v>
      </c>
      <c r="F11" s="530"/>
      <c r="G11" s="529">
        <v>46410</v>
      </c>
      <c r="H11" s="530"/>
      <c r="L11" s="244" t="s">
        <v>109</v>
      </c>
      <c r="M11" s="245" t="s">
        <v>321</v>
      </c>
    </row>
    <row r="12" spans="1:14" ht="20.100000000000001" customHeight="1" thickBot="1">
      <c r="A12" s="525"/>
      <c r="B12" s="525"/>
      <c r="C12" s="529"/>
      <c r="D12" s="529"/>
      <c r="E12" s="530"/>
      <c r="F12" s="530"/>
      <c r="G12" s="530"/>
      <c r="H12" s="530"/>
      <c r="L12" s="244" t="s">
        <v>324</v>
      </c>
      <c r="M12" s="247" t="s">
        <v>476</v>
      </c>
    </row>
    <row r="13" spans="1:14" ht="20.100000000000001" customHeight="1" thickBot="1">
      <c r="A13" s="525"/>
      <c r="B13" s="525"/>
      <c r="C13" s="529"/>
      <c r="D13" s="529"/>
      <c r="E13" s="530"/>
      <c r="F13" s="530"/>
      <c r="G13" s="530"/>
      <c r="H13" s="530"/>
      <c r="L13" s="242"/>
      <c r="M13" s="248" t="s">
        <v>327</v>
      </c>
    </row>
    <row r="14" spans="1:14" ht="20.100000000000001" customHeight="1" thickBot="1">
      <c r="A14" s="525" t="s">
        <v>325</v>
      </c>
      <c r="B14" s="525"/>
      <c r="C14" s="529">
        <v>46403</v>
      </c>
      <c r="D14" s="529"/>
      <c r="E14" s="529">
        <v>46403</v>
      </c>
      <c r="F14" s="530"/>
      <c r="G14" s="529">
        <v>46768</v>
      </c>
      <c r="H14" s="530"/>
      <c r="L14" s="242" t="s">
        <v>132</v>
      </c>
      <c r="M14" s="248">
        <v>592</v>
      </c>
      <c r="N14" s="239" t="s">
        <v>468</v>
      </c>
    </row>
    <row r="15" spans="1:14" ht="20.100000000000001" customHeight="1" thickBot="1">
      <c r="A15" s="525"/>
      <c r="B15" s="525"/>
      <c r="C15" s="529"/>
      <c r="D15" s="529"/>
      <c r="E15" s="530"/>
      <c r="F15" s="530"/>
      <c r="G15" s="530"/>
      <c r="H15" s="530"/>
      <c r="L15" s="242"/>
      <c r="M15" s="248"/>
    </row>
    <row r="16" spans="1:14" ht="20.100000000000001" customHeight="1" thickBot="1">
      <c r="A16" s="525"/>
      <c r="B16" s="525"/>
      <c r="C16" s="529"/>
      <c r="D16" s="529"/>
      <c r="E16" s="530"/>
      <c r="F16" s="530"/>
      <c r="G16" s="530"/>
      <c r="H16" s="530"/>
      <c r="L16" s="242"/>
      <c r="M16" s="248" t="s">
        <v>332</v>
      </c>
    </row>
    <row r="17" spans="1:13" ht="20.100000000000001" customHeight="1" thickBot="1">
      <c r="A17" s="525" t="s">
        <v>451</v>
      </c>
      <c r="B17" s="525"/>
      <c r="C17" s="529">
        <v>46354</v>
      </c>
      <c r="D17" s="529"/>
      <c r="E17" s="529">
        <v>46253</v>
      </c>
      <c r="F17" s="530"/>
      <c r="G17" s="529">
        <v>46619</v>
      </c>
      <c r="H17" s="530"/>
      <c r="L17" s="242" t="s">
        <v>150</v>
      </c>
      <c r="M17" s="248" t="s">
        <v>334</v>
      </c>
    </row>
    <row r="18" spans="1:13" ht="20.100000000000001" customHeight="1" thickBot="1">
      <c r="A18" s="525"/>
      <c r="B18" s="525"/>
      <c r="C18" s="529"/>
      <c r="D18" s="529"/>
      <c r="E18" s="530"/>
      <c r="F18" s="530"/>
      <c r="G18" s="530"/>
      <c r="H18" s="530"/>
      <c r="L18" s="242" t="s">
        <v>249</v>
      </c>
      <c r="M18" s="248" t="s">
        <v>336</v>
      </c>
    </row>
    <row r="19" spans="1:13" ht="20.100000000000001" customHeight="1" thickBot="1">
      <c r="A19" s="525"/>
      <c r="B19" s="525"/>
      <c r="C19" s="529"/>
      <c r="D19" s="529"/>
      <c r="E19" s="530"/>
      <c r="F19" s="530"/>
      <c r="G19" s="530"/>
      <c r="H19" s="530"/>
      <c r="L19" s="242" t="s">
        <v>477</v>
      </c>
      <c r="M19" s="248" t="s">
        <v>339</v>
      </c>
    </row>
    <row r="20" spans="1:13" ht="20.100000000000001" customHeight="1" thickBot="1">
      <c r="A20" s="525" t="s">
        <v>334</v>
      </c>
      <c r="B20" s="525"/>
      <c r="C20" s="529">
        <v>46425</v>
      </c>
      <c r="D20" s="529"/>
      <c r="E20" s="529">
        <v>46354</v>
      </c>
      <c r="F20" s="529"/>
      <c r="G20" s="529">
        <v>46720</v>
      </c>
      <c r="H20" s="529"/>
      <c r="L20" s="242" t="s">
        <v>158</v>
      </c>
      <c r="M20" s="246" t="s">
        <v>478</v>
      </c>
    </row>
    <row r="21" spans="1:13" ht="20.100000000000001" customHeight="1" thickBot="1">
      <c r="A21" s="525"/>
      <c r="B21" s="525"/>
      <c r="C21" s="529"/>
      <c r="D21" s="529"/>
      <c r="E21" s="529"/>
      <c r="F21" s="529"/>
      <c r="G21" s="529"/>
      <c r="H21" s="529"/>
      <c r="L21" s="249" t="s">
        <v>479</v>
      </c>
      <c r="M21" s="246">
        <v>231</v>
      </c>
    </row>
    <row r="22" spans="1:13" ht="20.100000000000001" customHeight="1" thickBot="1">
      <c r="A22" s="535"/>
      <c r="B22" s="535"/>
      <c r="C22" s="529"/>
      <c r="D22" s="529"/>
      <c r="E22" s="536"/>
      <c r="F22" s="536"/>
      <c r="G22" s="536"/>
      <c r="H22" s="536"/>
      <c r="L22" s="242" t="s">
        <v>307</v>
      </c>
      <c r="M22" s="248" t="s">
        <v>451</v>
      </c>
    </row>
    <row r="23" spans="1:13" ht="20.100000000000001" customHeight="1" thickBot="1">
      <c r="A23" s="525" t="s">
        <v>336</v>
      </c>
      <c r="B23" s="525"/>
      <c r="C23" s="529">
        <v>46780</v>
      </c>
      <c r="D23" s="529"/>
      <c r="E23" s="530" t="s">
        <v>480</v>
      </c>
      <c r="F23" s="530"/>
      <c r="G23" s="530" t="s">
        <v>480</v>
      </c>
      <c r="H23" s="530"/>
    </row>
    <row r="24" spans="1:13" ht="26.25" customHeight="1" thickBot="1">
      <c r="A24" s="525"/>
      <c r="B24" s="525"/>
      <c r="C24" s="529"/>
      <c r="D24" s="529"/>
      <c r="E24" s="530"/>
      <c r="F24" s="530"/>
      <c r="G24" s="530"/>
      <c r="H24" s="530"/>
      <c r="L24" s="239" t="s">
        <v>481</v>
      </c>
      <c r="M24" s="239" t="s">
        <v>482</v>
      </c>
    </row>
    <row r="25" spans="1:13" ht="20.100000000000001" customHeight="1" thickBot="1">
      <c r="A25" s="525"/>
      <c r="B25" s="525"/>
      <c r="C25" s="529"/>
      <c r="D25" s="529"/>
      <c r="E25" s="530"/>
      <c r="F25" s="530"/>
      <c r="G25" s="530"/>
      <c r="H25" s="530"/>
    </row>
    <row r="26" spans="1:13" ht="20.100000000000001" customHeight="1" thickBot="1">
      <c r="A26" s="525" t="s">
        <v>478</v>
      </c>
      <c r="B26" s="525"/>
      <c r="C26" s="533">
        <v>46116</v>
      </c>
      <c r="D26" s="533"/>
      <c r="E26" s="529">
        <v>46452</v>
      </c>
      <c r="F26" s="529"/>
      <c r="G26" s="538">
        <v>46819</v>
      </c>
      <c r="H26" s="538"/>
    </row>
    <row r="27" spans="1:13" ht="20.100000000000001" customHeight="1" thickBot="1">
      <c r="A27" s="525"/>
      <c r="B27" s="525"/>
      <c r="C27" s="533"/>
      <c r="D27" s="533"/>
      <c r="E27" s="529"/>
      <c r="F27" s="529"/>
      <c r="G27" s="538"/>
      <c r="H27" s="538"/>
    </row>
    <row r="28" spans="1:13" ht="20.100000000000001" customHeight="1" thickBot="1">
      <c r="A28" s="525"/>
      <c r="B28" s="525"/>
      <c r="C28" s="533"/>
      <c r="D28" s="533"/>
      <c r="E28" s="529"/>
      <c r="F28" s="529"/>
      <c r="G28" s="538"/>
      <c r="H28" s="538"/>
    </row>
    <row r="29" spans="1:13" ht="20.100000000000001" customHeight="1" thickBot="1">
      <c r="A29" s="525" t="s">
        <v>339</v>
      </c>
      <c r="B29" s="525"/>
      <c r="C29" s="531">
        <v>46238</v>
      </c>
      <c r="D29" s="531"/>
      <c r="E29" s="538">
        <v>46192</v>
      </c>
      <c r="F29" s="538"/>
      <c r="G29" s="538">
        <v>46645</v>
      </c>
      <c r="H29" s="538"/>
    </row>
    <row r="30" spans="1:13" ht="20.100000000000001" customHeight="1" thickBot="1">
      <c r="A30" s="525"/>
      <c r="B30" s="525"/>
      <c r="C30" s="531"/>
      <c r="D30" s="531"/>
      <c r="E30" s="538"/>
      <c r="F30" s="538"/>
      <c r="G30" s="538"/>
      <c r="H30" s="538"/>
    </row>
    <row r="31" spans="1:13" ht="20.100000000000001" customHeight="1" thickBot="1">
      <c r="A31" s="525"/>
      <c r="B31" s="525"/>
      <c r="C31" s="531"/>
      <c r="D31" s="531"/>
      <c r="E31" s="538"/>
      <c r="F31" s="538"/>
      <c r="G31" s="538"/>
      <c r="H31" s="538"/>
    </row>
    <row r="32" spans="1:13" ht="24.75" customHeight="1" thickBot="1">
      <c r="A32" s="525" t="s">
        <v>318</v>
      </c>
      <c r="B32" s="525"/>
      <c r="C32" s="529">
        <v>46423</v>
      </c>
      <c r="D32" s="529"/>
      <c r="E32" s="529">
        <v>46298</v>
      </c>
      <c r="F32" s="529"/>
      <c r="G32" s="529">
        <v>46299</v>
      </c>
      <c r="H32" s="529"/>
    </row>
    <row r="33" spans="1:11" ht="23.25" customHeight="1" thickBot="1">
      <c r="A33" s="525"/>
      <c r="B33" s="525"/>
      <c r="C33" s="529"/>
      <c r="D33" s="529"/>
      <c r="E33" s="529"/>
      <c r="F33" s="529"/>
      <c r="G33" s="529"/>
      <c r="H33" s="529"/>
    </row>
    <row r="34" spans="1:11" ht="23.25" customHeight="1" thickBot="1">
      <c r="A34" s="525" t="s">
        <v>329</v>
      </c>
      <c r="B34" s="525"/>
      <c r="C34" s="529">
        <v>46190</v>
      </c>
      <c r="D34" s="529"/>
      <c r="E34" s="533">
        <v>46121</v>
      </c>
      <c r="F34" s="533"/>
      <c r="G34" s="529">
        <v>46816</v>
      </c>
      <c r="H34" s="530"/>
    </row>
    <row r="35" spans="1:11" ht="17.25" customHeight="1" thickBot="1">
      <c r="A35" s="525"/>
      <c r="B35" s="525"/>
      <c r="C35" s="529"/>
      <c r="D35" s="529"/>
      <c r="E35" s="533"/>
      <c r="F35" s="533"/>
      <c r="G35" s="530"/>
      <c r="H35" s="530"/>
    </row>
    <row r="36" spans="1:11" ht="20.100000000000001" customHeight="1" thickBot="1">
      <c r="A36" s="525" t="s">
        <v>460</v>
      </c>
      <c r="B36" s="525"/>
      <c r="C36" s="529">
        <v>46330</v>
      </c>
      <c r="D36" s="529"/>
      <c r="E36" s="529">
        <v>46184</v>
      </c>
      <c r="F36" s="530"/>
      <c r="G36" s="529">
        <v>46328</v>
      </c>
      <c r="H36" s="530"/>
      <c r="I36" s="539"/>
      <c r="J36" s="500"/>
    </row>
    <row r="37" spans="1:11" ht="20.100000000000001" customHeight="1" thickBot="1">
      <c r="A37" s="535"/>
      <c r="B37" s="535"/>
      <c r="C37" s="536"/>
      <c r="D37" s="536"/>
      <c r="E37" s="537"/>
      <c r="F37" s="537"/>
      <c r="G37" s="537"/>
      <c r="H37" s="537"/>
      <c r="I37" s="539"/>
      <c r="J37" s="500"/>
    </row>
    <row r="38" spans="1:11" ht="33.75" customHeight="1" thickBot="1">
      <c r="A38" s="525" t="s">
        <v>332</v>
      </c>
      <c r="B38" s="525"/>
      <c r="C38" s="533">
        <v>46114</v>
      </c>
      <c r="D38" s="534"/>
      <c r="E38" s="529">
        <v>46378</v>
      </c>
      <c r="F38" s="530"/>
      <c r="G38" s="529">
        <v>46744</v>
      </c>
      <c r="H38" s="530"/>
    </row>
    <row r="39" spans="1:11" ht="25.5" customHeight="1" thickBot="1">
      <c r="A39" s="525"/>
      <c r="B39" s="525"/>
      <c r="C39" s="534"/>
      <c r="D39" s="534"/>
      <c r="E39" s="530"/>
      <c r="F39" s="530"/>
      <c r="G39" s="530"/>
      <c r="H39" s="530"/>
    </row>
    <row r="40" spans="1:11" ht="20.100000000000001" customHeight="1" thickBot="1">
      <c r="A40" s="525" t="s">
        <v>483</v>
      </c>
      <c r="B40" s="525"/>
      <c r="C40" s="529">
        <v>46796</v>
      </c>
      <c r="D40" s="529"/>
      <c r="E40" s="529" t="s">
        <v>480</v>
      </c>
      <c r="F40" s="529"/>
      <c r="G40" s="529" t="s">
        <v>480</v>
      </c>
      <c r="H40" s="529"/>
    </row>
    <row r="41" spans="1:11" ht="20.100000000000001" customHeight="1" thickBot="1">
      <c r="A41" s="525"/>
      <c r="B41" s="525"/>
      <c r="C41" s="529"/>
      <c r="D41" s="529"/>
      <c r="E41" s="529"/>
      <c r="F41" s="529"/>
      <c r="G41" s="529"/>
      <c r="H41" s="529"/>
    </row>
    <row r="42" spans="1:11" ht="20.100000000000001" customHeight="1" thickBot="1">
      <c r="A42" s="525" t="s">
        <v>462</v>
      </c>
      <c r="B42" s="525"/>
      <c r="C42" s="529">
        <v>46325</v>
      </c>
      <c r="D42" s="529"/>
      <c r="E42" s="529">
        <v>46316</v>
      </c>
      <c r="F42" s="529"/>
      <c r="G42" s="529">
        <v>46326</v>
      </c>
      <c r="H42" s="529"/>
      <c r="I42" s="539"/>
      <c r="J42" s="500"/>
      <c r="K42" s="240"/>
    </row>
    <row r="43" spans="1:11" ht="20.100000000000001" customHeight="1" thickBot="1">
      <c r="A43" s="525"/>
      <c r="B43" s="525"/>
      <c r="C43" s="529"/>
      <c r="D43" s="529"/>
      <c r="E43" s="529"/>
      <c r="F43" s="529"/>
      <c r="G43" s="529"/>
      <c r="H43" s="529"/>
      <c r="I43" s="539"/>
      <c r="J43" s="500"/>
      <c r="K43" s="240"/>
    </row>
    <row r="44" spans="1:11" ht="20.100000000000001" customHeight="1" thickBot="1">
      <c r="A44" s="525" t="s">
        <v>320</v>
      </c>
      <c r="B44" s="525"/>
      <c r="C44" s="529">
        <v>46385</v>
      </c>
      <c r="D44" s="529"/>
      <c r="E44" s="529">
        <v>46349</v>
      </c>
      <c r="F44" s="529"/>
      <c r="G44" s="529">
        <v>46356</v>
      </c>
      <c r="H44" s="529"/>
      <c r="I44" s="539"/>
      <c r="J44" s="241"/>
    </row>
    <row r="45" spans="1:11" ht="20.100000000000001" customHeight="1" thickBot="1">
      <c r="A45" s="525"/>
      <c r="B45" s="525"/>
      <c r="C45" s="529"/>
      <c r="D45" s="529"/>
      <c r="E45" s="529"/>
      <c r="F45" s="529"/>
      <c r="G45" s="529"/>
      <c r="H45" s="529"/>
      <c r="I45" s="539"/>
      <c r="J45" s="500"/>
      <c r="K45" s="241"/>
    </row>
    <row r="46" spans="1:11" ht="20.100000000000001" customHeight="1" thickBot="1">
      <c r="A46" s="525"/>
      <c r="B46" s="525"/>
      <c r="C46" s="529"/>
      <c r="D46" s="529"/>
      <c r="E46" s="529"/>
      <c r="F46" s="529"/>
      <c r="G46" s="529"/>
      <c r="H46" s="529"/>
      <c r="I46" s="539"/>
      <c r="J46" s="500"/>
      <c r="K46" s="240"/>
    </row>
    <row r="47" spans="1:11" ht="27" thickBot="1">
      <c r="A47" s="525" t="s">
        <v>331</v>
      </c>
      <c r="B47" s="525"/>
      <c r="C47" s="523">
        <v>46203</v>
      </c>
      <c r="D47" s="524"/>
      <c r="E47" s="523">
        <v>46195</v>
      </c>
      <c r="F47" s="524"/>
      <c r="G47" s="523">
        <v>46561</v>
      </c>
      <c r="H47" s="524"/>
    </row>
    <row r="48" spans="1:11" ht="27" thickBot="1">
      <c r="A48" s="527" t="s">
        <v>463</v>
      </c>
      <c r="B48" s="528"/>
      <c r="C48" s="523"/>
      <c r="D48" s="524"/>
      <c r="E48" s="523">
        <v>46357</v>
      </c>
      <c r="F48" s="524"/>
      <c r="G48" s="523">
        <v>46723</v>
      </c>
      <c r="H48" s="524"/>
    </row>
    <row r="49" spans="1:8" ht="29.25" thickBot="1">
      <c r="A49" s="526" t="s">
        <v>450</v>
      </c>
      <c r="B49" s="526"/>
      <c r="C49" s="523"/>
      <c r="D49" s="524"/>
      <c r="E49" s="523"/>
      <c r="F49" s="524"/>
      <c r="G49" s="523"/>
      <c r="H49" s="524"/>
    </row>
  </sheetData>
  <mergeCells count="87">
    <mergeCell ref="I42:I43"/>
    <mergeCell ref="I36:I37"/>
    <mergeCell ref="I44:I46"/>
    <mergeCell ref="A1:B1"/>
    <mergeCell ref="C1:D1"/>
    <mergeCell ref="E1:F1"/>
    <mergeCell ref="G1:H1"/>
    <mergeCell ref="A5:B7"/>
    <mergeCell ref="C5:D7"/>
    <mergeCell ref="E5:F7"/>
    <mergeCell ref="G5:H7"/>
    <mergeCell ref="A17:B19"/>
    <mergeCell ref="C17:D19"/>
    <mergeCell ref="E17:F19"/>
    <mergeCell ref="G17:H19"/>
    <mergeCell ref="A20:B22"/>
    <mergeCell ref="C20:D22"/>
    <mergeCell ref="E20:F22"/>
    <mergeCell ref="G20:H22"/>
    <mergeCell ref="A23:B25"/>
    <mergeCell ref="C23:D25"/>
    <mergeCell ref="E23:F25"/>
    <mergeCell ref="G23:H25"/>
    <mergeCell ref="A29:B31"/>
    <mergeCell ref="C29:D31"/>
    <mergeCell ref="E29:F31"/>
    <mergeCell ref="G29:H31"/>
    <mergeCell ref="A26:B28"/>
    <mergeCell ref="C26:D28"/>
    <mergeCell ref="E26:F28"/>
    <mergeCell ref="G26:H28"/>
    <mergeCell ref="A38:B39"/>
    <mergeCell ref="C38:D39"/>
    <mergeCell ref="E38:F39"/>
    <mergeCell ref="G38:H39"/>
    <mergeCell ref="A32:B33"/>
    <mergeCell ref="C32:D33"/>
    <mergeCell ref="E32:F33"/>
    <mergeCell ref="G32:H33"/>
    <mergeCell ref="A36:B37"/>
    <mergeCell ref="C36:D37"/>
    <mergeCell ref="E36:F37"/>
    <mergeCell ref="G36:H37"/>
    <mergeCell ref="A34:B35"/>
    <mergeCell ref="C34:D35"/>
    <mergeCell ref="E34:F35"/>
    <mergeCell ref="G34:H35"/>
    <mergeCell ref="A44:B46"/>
    <mergeCell ref="C44:D46"/>
    <mergeCell ref="E44:F46"/>
    <mergeCell ref="G44:H46"/>
    <mergeCell ref="A40:B41"/>
    <mergeCell ref="C40:D41"/>
    <mergeCell ref="E40:F41"/>
    <mergeCell ref="G40:H41"/>
    <mergeCell ref="A42:B43"/>
    <mergeCell ref="C42:D43"/>
    <mergeCell ref="E42:F43"/>
    <mergeCell ref="G42:H43"/>
    <mergeCell ref="A14:B16"/>
    <mergeCell ref="C14:D16"/>
    <mergeCell ref="E14:F16"/>
    <mergeCell ref="G14:H16"/>
    <mergeCell ref="A2:B4"/>
    <mergeCell ref="C2:D4"/>
    <mergeCell ref="E2:F4"/>
    <mergeCell ref="G2:H4"/>
    <mergeCell ref="A11:B13"/>
    <mergeCell ref="C11:D13"/>
    <mergeCell ref="E11:F13"/>
    <mergeCell ref="G11:H13"/>
    <mergeCell ref="A8:B10"/>
    <mergeCell ref="C8:D10"/>
    <mergeCell ref="E8:F10"/>
    <mergeCell ref="G8:H10"/>
    <mergeCell ref="A47:B47"/>
    <mergeCell ref="A49:B49"/>
    <mergeCell ref="A48:B48"/>
    <mergeCell ref="C47:D47"/>
    <mergeCell ref="E47:F47"/>
    <mergeCell ref="G47:H47"/>
    <mergeCell ref="G49:H49"/>
    <mergeCell ref="E49:F49"/>
    <mergeCell ref="C49:D49"/>
    <mergeCell ref="C48:D48"/>
    <mergeCell ref="E48:F48"/>
    <mergeCell ref="G48:H48"/>
  </mergeCells>
  <pageMargins left="0.23622047244094491" right="0.23622047244094491" top="0.35433070866141736" bottom="0.35433070866141736" header="0.19685039370078741" footer="0.31496062992125984"/>
  <pageSetup paperSize="9" orientation="portrait" horizontalDpi="360"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7DC3A-71A2-4980-BEB5-FFA49917F7E7}">
  <sheetPr>
    <tabColor theme="9" tint="0.39997558519241921"/>
  </sheetPr>
  <dimension ref="A1:J37"/>
  <sheetViews>
    <sheetView zoomScale="80" zoomScaleNormal="80" workbookViewId="0">
      <pane ySplit="1" topLeftCell="A2" activePane="bottomLeft" state="frozen"/>
      <selection pane="bottomLeft" activeCell="G5" sqref="G5"/>
    </sheetView>
  </sheetViews>
  <sheetFormatPr defaultColWidth="11.42578125" defaultRowHeight="15"/>
  <cols>
    <col min="1" max="1" width="28.7109375" style="1" customWidth="1"/>
    <col min="2" max="2" width="37.42578125" style="1" customWidth="1"/>
    <col min="3" max="3" width="18.85546875" style="225" bestFit="1" customWidth="1"/>
    <col min="4" max="4" width="29" customWidth="1"/>
    <col min="5" max="5" width="31.5703125" style="1" customWidth="1"/>
    <col min="6" max="6" width="37" style="1" customWidth="1"/>
    <col min="7" max="7" width="55.140625" style="1" bestFit="1" customWidth="1"/>
    <col min="8" max="8" width="17.7109375" style="18" customWidth="1"/>
    <col min="9" max="9" width="31.7109375" customWidth="1"/>
    <col min="10" max="10" width="15.140625" customWidth="1"/>
  </cols>
  <sheetData>
    <row r="1" spans="1:10" ht="53.25" customHeight="1">
      <c r="A1" s="542" t="s">
        <v>484</v>
      </c>
      <c r="B1" s="542"/>
      <c r="C1" s="543" t="s">
        <v>485</v>
      </c>
      <c r="D1" s="544"/>
      <c r="E1" s="78"/>
      <c r="F1" s="545" t="s">
        <v>486</v>
      </c>
      <c r="G1" s="545"/>
      <c r="H1" s="546" t="s">
        <v>485</v>
      </c>
      <c r="I1" s="546"/>
    </row>
    <row r="2" spans="1:10" s="1" customFormat="1" ht="47.25" customHeight="1">
      <c r="A2" s="237" t="s">
        <v>0</v>
      </c>
      <c r="B2" s="250" t="s">
        <v>487</v>
      </c>
      <c r="C2" s="238" t="s">
        <v>488</v>
      </c>
      <c r="D2" s="143" t="s">
        <v>489</v>
      </c>
      <c r="E2" s="78"/>
      <c r="F2" s="351" t="s">
        <v>0</v>
      </c>
      <c r="G2" s="352" t="s">
        <v>487</v>
      </c>
      <c r="H2" s="353" t="s">
        <v>488</v>
      </c>
      <c r="I2" s="354" t="s">
        <v>489</v>
      </c>
      <c r="J2" s="501"/>
    </row>
    <row r="3" spans="1:10" s="1" customFormat="1" ht="24.95" customHeight="1">
      <c r="A3" s="369" t="s">
        <v>86</v>
      </c>
      <c r="B3" s="370" t="s">
        <v>188</v>
      </c>
      <c r="C3" s="371" t="s">
        <v>490</v>
      </c>
      <c r="D3" s="372" t="s">
        <v>314</v>
      </c>
      <c r="E3" s="78"/>
      <c r="F3" s="380" t="s">
        <v>101</v>
      </c>
      <c r="G3" s="374" t="s">
        <v>491</v>
      </c>
      <c r="H3" s="383" t="s">
        <v>490</v>
      </c>
      <c r="I3" s="373" t="s">
        <v>320</v>
      </c>
      <c r="J3" s="501"/>
    </row>
    <row r="4" spans="1:10" s="1" customFormat="1" ht="38.25" customHeight="1">
      <c r="A4" s="369" t="s">
        <v>274</v>
      </c>
      <c r="B4" s="385" t="s">
        <v>492</v>
      </c>
      <c r="C4" s="466" t="s">
        <v>493</v>
      </c>
      <c r="D4" s="465" t="s">
        <v>494</v>
      </c>
      <c r="E4" s="78"/>
      <c r="F4" s="369" t="s">
        <v>279</v>
      </c>
      <c r="G4" s="374" t="s">
        <v>495</v>
      </c>
      <c r="H4" s="473" t="s">
        <v>496</v>
      </c>
      <c r="I4" s="372"/>
      <c r="J4" s="501"/>
    </row>
    <row r="5" spans="1:10" s="1" customFormat="1" ht="25.5" customHeight="1">
      <c r="A5" s="369" t="s">
        <v>50</v>
      </c>
      <c r="B5" s="370" t="s">
        <v>497</v>
      </c>
      <c r="C5" s="371" t="s">
        <v>498</v>
      </c>
      <c r="D5" s="372" t="s">
        <v>499</v>
      </c>
      <c r="E5" s="78"/>
      <c r="F5" s="369" t="s">
        <v>500</v>
      </c>
      <c r="G5" s="385" t="s">
        <v>501</v>
      </c>
      <c r="H5" s="381" t="s">
        <v>502</v>
      </c>
      <c r="I5" s="377" t="s">
        <v>325</v>
      </c>
      <c r="J5" s="501"/>
    </row>
    <row r="6" spans="1:10" s="1" customFormat="1" ht="24.95" customHeight="1">
      <c r="A6" s="380" t="s">
        <v>59</v>
      </c>
      <c r="B6" s="370" t="s">
        <v>503</v>
      </c>
      <c r="C6" s="384" t="s">
        <v>496</v>
      </c>
      <c r="D6" s="377" t="s">
        <v>452</v>
      </c>
      <c r="E6" s="78"/>
      <c r="F6" s="369" t="s">
        <v>296</v>
      </c>
      <c r="G6" s="370" t="s">
        <v>504</v>
      </c>
      <c r="H6" s="383" t="s">
        <v>505</v>
      </c>
      <c r="I6" s="372" t="s">
        <v>463</v>
      </c>
      <c r="J6" s="501"/>
    </row>
    <row r="7" spans="1:10" s="1" customFormat="1" ht="24.95" customHeight="1">
      <c r="A7" s="369" t="s">
        <v>150</v>
      </c>
      <c r="B7" s="382" t="s">
        <v>506</v>
      </c>
      <c r="C7" s="381" t="s">
        <v>507</v>
      </c>
      <c r="D7" s="373" t="s">
        <v>451</v>
      </c>
      <c r="E7" s="78"/>
      <c r="F7" s="369" t="s">
        <v>158</v>
      </c>
      <c r="G7" s="374" t="s">
        <v>508</v>
      </c>
      <c r="H7" s="379" t="s">
        <v>509</v>
      </c>
      <c r="I7" s="377" t="s">
        <v>331</v>
      </c>
      <c r="J7" s="501"/>
    </row>
    <row r="8" spans="1:10" s="1" customFormat="1" ht="24.95" customHeight="1">
      <c r="A8" s="369" t="s">
        <v>109</v>
      </c>
      <c r="B8" s="370" t="s">
        <v>510</v>
      </c>
      <c r="C8" s="379" t="s">
        <v>498</v>
      </c>
      <c r="D8" s="377" t="s">
        <v>511</v>
      </c>
      <c r="E8" s="78"/>
      <c r="F8" s="369" t="s">
        <v>512</v>
      </c>
      <c r="G8" s="370" t="s">
        <v>513</v>
      </c>
      <c r="H8" s="381" t="s">
        <v>514</v>
      </c>
      <c r="I8" s="373" t="s">
        <v>450</v>
      </c>
      <c r="J8" s="501"/>
    </row>
    <row r="9" spans="1:10" s="1" customFormat="1" ht="24.95" customHeight="1">
      <c r="A9" s="369" t="s">
        <v>132</v>
      </c>
      <c r="B9" s="374" t="s">
        <v>193</v>
      </c>
      <c r="C9" s="379" t="s">
        <v>514</v>
      </c>
      <c r="D9" s="372" t="s">
        <v>329</v>
      </c>
      <c r="E9" s="78"/>
      <c r="F9" s="369" t="s">
        <v>165</v>
      </c>
      <c r="G9" s="468" t="s">
        <v>515</v>
      </c>
      <c r="H9" s="35" t="s">
        <v>516</v>
      </c>
      <c r="I9" s="377" t="s">
        <v>460</v>
      </c>
      <c r="J9" s="501"/>
    </row>
    <row r="10" spans="1:10" s="1" customFormat="1" ht="32.25" customHeight="1">
      <c r="A10" s="380" t="s">
        <v>285</v>
      </c>
      <c r="B10" s="468" t="s">
        <v>517</v>
      </c>
      <c r="C10" s="469" t="s">
        <v>493</v>
      </c>
      <c r="D10" s="465" t="s">
        <v>494</v>
      </c>
      <c r="E10" s="78"/>
      <c r="F10" s="479"/>
      <c r="G10" s="479"/>
      <c r="H10" s="375"/>
      <c r="I10" s="376"/>
      <c r="J10" s="501" t="s">
        <v>518</v>
      </c>
    </row>
    <row r="11" spans="1:10" s="1" customFormat="1" ht="31.5" customHeight="1">
      <c r="A11" s="386" t="s">
        <v>67</v>
      </c>
      <c r="B11" s="374" t="s">
        <v>519</v>
      </c>
      <c r="C11" s="466" t="s">
        <v>493</v>
      </c>
      <c r="D11" s="465" t="s">
        <v>494</v>
      </c>
      <c r="E11" s="78"/>
      <c r="F11" s="501"/>
      <c r="G11" s="501"/>
      <c r="H11" s="375"/>
      <c r="I11" s="376"/>
      <c r="J11" s="501"/>
    </row>
    <row r="12" spans="1:10" s="1" customFormat="1" ht="24.95" customHeight="1">
      <c r="A12" s="464" t="s">
        <v>117</v>
      </c>
      <c r="B12" s="472" t="s">
        <v>520</v>
      </c>
      <c r="C12" s="383" t="s">
        <v>521</v>
      </c>
      <c r="D12" s="475" t="s">
        <v>478</v>
      </c>
      <c r="E12" s="78"/>
      <c r="F12" s="501"/>
      <c r="G12" s="501"/>
      <c r="H12" s="480"/>
      <c r="I12" s="480"/>
      <c r="J12" s="501"/>
    </row>
    <row r="13" spans="1:10" s="1" customFormat="1" ht="35.25" customHeight="1">
      <c r="A13" s="380" t="s">
        <v>522</v>
      </c>
      <c r="B13" s="474" t="s">
        <v>523</v>
      </c>
      <c r="C13" s="478" t="s">
        <v>493</v>
      </c>
      <c r="D13" s="476" t="s">
        <v>494</v>
      </c>
      <c r="E13" s="78"/>
      <c r="F13" s="501"/>
      <c r="G13" s="501"/>
      <c r="H13" s="501"/>
      <c r="I13" s="501"/>
      <c r="J13" s="501"/>
    </row>
    <row r="14" spans="1:10" s="1" customFormat="1" ht="36" customHeight="1">
      <c r="A14" s="369" t="s">
        <v>524</v>
      </c>
      <c r="B14" s="374" t="s">
        <v>525</v>
      </c>
      <c r="C14" s="477" t="s">
        <v>496</v>
      </c>
      <c r="D14" s="373" t="s">
        <v>475</v>
      </c>
      <c r="E14" s="78"/>
      <c r="F14" s="501"/>
      <c r="G14" s="387"/>
      <c r="H14" s="388"/>
      <c r="I14" s="389"/>
      <c r="J14" s="501"/>
    </row>
    <row r="15" spans="1:10" s="1" customFormat="1" ht="30" customHeight="1">
      <c r="A15" s="369" t="s">
        <v>526</v>
      </c>
      <c r="B15" s="370" t="s">
        <v>527</v>
      </c>
      <c r="C15" s="481"/>
      <c r="D15" s="481"/>
      <c r="E15" s="355"/>
      <c r="F15" s="355"/>
      <c r="G15" s="355"/>
      <c r="H15" s="355"/>
      <c r="I15" s="355"/>
      <c r="J15" s="501"/>
    </row>
    <row r="16" spans="1:10" s="1" customFormat="1" ht="22.5">
      <c r="A16" s="378"/>
      <c r="B16" s="501"/>
      <c r="C16" s="375"/>
      <c r="D16" s="376"/>
      <c r="E16" s="355" t="s">
        <v>353</v>
      </c>
      <c r="F16" s="355"/>
      <c r="G16" s="355"/>
      <c r="H16" s="355"/>
      <c r="I16" s="355"/>
      <c r="J16" s="501"/>
    </row>
    <row r="17" spans="1:9" s="1" customFormat="1" ht="19.5" customHeight="1">
      <c r="A17" s="378"/>
      <c r="B17" s="501"/>
      <c r="C17" s="375"/>
      <c r="D17" s="376"/>
      <c r="E17" s="355"/>
      <c r="F17" s="355"/>
      <c r="G17" s="355"/>
      <c r="H17" s="355"/>
      <c r="I17" s="355"/>
    </row>
    <row r="18" spans="1:9" s="1" customFormat="1">
      <c r="A18" s="378"/>
      <c r="B18" s="501"/>
      <c r="C18" s="501"/>
      <c r="D18" s="501"/>
      <c r="E18" s="355"/>
      <c r="F18" s="355"/>
      <c r="G18" s="355"/>
      <c r="H18" s="355"/>
      <c r="I18" s="355"/>
    </row>
    <row r="19" spans="1:9" s="1" customFormat="1" ht="30" customHeight="1">
      <c r="A19" s="501"/>
      <c r="B19" s="501"/>
      <c r="C19" s="501"/>
      <c r="D19" s="501"/>
      <c r="E19" s="355"/>
      <c r="F19" s="355"/>
      <c r="G19" s="355"/>
      <c r="H19" s="355"/>
      <c r="I19" s="355"/>
    </row>
    <row r="20" spans="1:9" s="1" customFormat="1" ht="30" customHeight="1">
      <c r="A20" s="501"/>
      <c r="B20" s="501"/>
      <c r="C20" s="501"/>
      <c r="D20" s="501"/>
      <c r="E20" s="355"/>
      <c r="F20" s="355"/>
      <c r="G20" s="355"/>
      <c r="H20" s="355"/>
      <c r="I20" s="355"/>
    </row>
    <row r="21" spans="1:9" s="1" customFormat="1" ht="30" customHeight="1">
      <c r="A21" s="501"/>
      <c r="B21" s="501"/>
      <c r="C21" s="501"/>
      <c r="D21" s="364" t="s">
        <v>528</v>
      </c>
      <c r="E21" s="36" t="s">
        <v>529</v>
      </c>
      <c r="F21" s="355"/>
      <c r="G21" s="355"/>
      <c r="H21" s="355"/>
      <c r="I21" s="355"/>
    </row>
    <row r="22" spans="1:9" s="1" customFormat="1" ht="39.75" customHeight="1">
      <c r="A22" s="501"/>
      <c r="B22" s="501"/>
      <c r="C22" s="501"/>
      <c r="D22" s="501"/>
      <c r="E22" s="355"/>
      <c r="F22" s="355"/>
      <c r="G22" s="355"/>
      <c r="H22" s="355"/>
      <c r="I22" s="355"/>
    </row>
    <row r="23" spans="1:9" s="1" customFormat="1" ht="39.75" customHeight="1">
      <c r="A23" s="501"/>
      <c r="B23" s="501"/>
      <c r="C23" s="501"/>
      <c r="D23" s="501"/>
      <c r="E23" s="355"/>
      <c r="F23" s="355"/>
      <c r="G23" s="355"/>
      <c r="H23" s="355"/>
      <c r="I23" s="355"/>
    </row>
    <row r="24" spans="1:9" s="1" customFormat="1" ht="36" customHeight="1">
      <c r="A24" s="501"/>
      <c r="B24" s="501"/>
      <c r="C24" s="501"/>
      <c r="D24" s="501"/>
      <c r="E24" s="355"/>
      <c r="F24" s="355"/>
      <c r="G24" s="355"/>
      <c r="H24" s="355"/>
      <c r="I24" s="355"/>
    </row>
    <row r="25" spans="1:9" s="1" customFormat="1" ht="36" customHeight="1">
      <c r="A25" s="501"/>
      <c r="B25" s="501"/>
      <c r="C25" s="501"/>
      <c r="D25" s="501"/>
      <c r="E25" s="355"/>
      <c r="F25" s="355"/>
      <c r="G25" s="355"/>
      <c r="H25" s="355"/>
      <c r="I25" s="355"/>
    </row>
    <row r="26" spans="1:9" s="1" customFormat="1" ht="36" customHeight="1">
      <c r="A26" s="501"/>
      <c r="B26" s="501"/>
      <c r="C26" s="501"/>
      <c r="D26" s="501"/>
      <c r="E26" s="355"/>
      <c r="F26" s="355"/>
      <c r="G26" s="355"/>
      <c r="H26" s="355"/>
      <c r="I26" s="355"/>
    </row>
    <row r="27" spans="1:9" ht="28.5" customHeight="1">
      <c r="A27" s="501"/>
      <c r="B27" s="501"/>
      <c r="E27" s="501"/>
      <c r="F27" s="501"/>
      <c r="G27" s="501"/>
      <c r="H27" s="21"/>
    </row>
    <row r="37" spans="3:3">
      <c r="C37" s="225" t="s">
        <v>530</v>
      </c>
    </row>
  </sheetData>
  <mergeCells count="4">
    <mergeCell ref="A1:B1"/>
    <mergeCell ref="C1:D1"/>
    <mergeCell ref="F1:G1"/>
    <mergeCell ref="H1:I1"/>
  </mergeCells>
  <phoneticPr fontId="39" type="noConversion"/>
  <printOptions horizontalCentered="1" verticalCentered="1"/>
  <pageMargins left="0.70866141732283472" right="0.70866141732283472" top="0.74803149606299213" bottom="0.74803149606299213" header="0.31496062992125984" footer="0.31496062992125984"/>
  <pageSetup paperSize="9" scale="85" orientation="landscape" horizontalDpi="360" verticalDpi="360"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44A82-B49A-43D8-9B3A-9394E2922007}">
  <sheetPr>
    <tabColor rgb="FF0070C0"/>
  </sheetPr>
  <dimension ref="A1:E9"/>
  <sheetViews>
    <sheetView workbookViewId="0">
      <selection activeCell="G14" sqref="G14"/>
    </sheetView>
  </sheetViews>
  <sheetFormatPr defaultColWidth="11.42578125" defaultRowHeight="15"/>
  <cols>
    <col min="1" max="5" width="17.7109375" customWidth="1"/>
  </cols>
  <sheetData>
    <row r="1" spans="1:5" ht="30" customHeight="1">
      <c r="A1" s="547" t="s">
        <v>531</v>
      </c>
      <c r="B1" s="548"/>
      <c r="C1" s="548"/>
      <c r="D1" s="548"/>
      <c r="E1" s="548"/>
    </row>
    <row r="2" spans="1:5" ht="30" customHeight="1">
      <c r="A2" s="549"/>
      <c r="B2" s="549"/>
      <c r="C2" s="549"/>
      <c r="D2" s="549"/>
      <c r="E2" s="549"/>
    </row>
    <row r="3" spans="1:5" ht="30" customHeight="1">
      <c r="A3" s="390" t="s">
        <v>532</v>
      </c>
      <c r="B3" s="390" t="s">
        <v>533</v>
      </c>
      <c r="C3" s="390" t="s">
        <v>534</v>
      </c>
      <c r="D3" s="390" t="s">
        <v>535</v>
      </c>
      <c r="E3" s="390" t="s">
        <v>536</v>
      </c>
    </row>
    <row r="4" spans="1:5" ht="30" customHeight="1">
      <c r="A4" s="390" t="s">
        <v>537</v>
      </c>
      <c r="B4" s="502"/>
      <c r="C4" s="502"/>
      <c r="D4" s="502"/>
      <c r="E4" s="502"/>
    </row>
    <row r="5" spans="1:5" ht="30" customHeight="1">
      <c r="A5" s="390" t="s">
        <v>538</v>
      </c>
      <c r="B5" s="502"/>
      <c r="C5" s="502"/>
      <c r="D5" s="502"/>
      <c r="E5" s="505" t="s">
        <v>539</v>
      </c>
    </row>
    <row r="6" spans="1:5" ht="30" customHeight="1">
      <c r="A6" s="390" t="s">
        <v>540</v>
      </c>
      <c r="B6" s="502"/>
      <c r="C6" s="502"/>
      <c r="D6" s="502"/>
      <c r="E6" s="502"/>
    </row>
    <row r="7" spans="1:5" ht="30" customHeight="1">
      <c r="A7" s="390" t="s">
        <v>541</v>
      </c>
      <c r="B7" s="502"/>
      <c r="C7" s="505" t="s">
        <v>542</v>
      </c>
      <c r="D7" s="505" t="s">
        <v>543</v>
      </c>
      <c r="E7" s="502"/>
    </row>
    <row r="8" spans="1:5" ht="30" customHeight="1">
      <c r="A8" s="390" t="s">
        <v>544</v>
      </c>
      <c r="B8" s="502"/>
      <c r="C8" s="502"/>
      <c r="D8" s="502"/>
      <c r="E8" s="502"/>
    </row>
    <row r="9" spans="1:5" ht="30" customHeight="1">
      <c r="A9" s="390" t="s">
        <v>545</v>
      </c>
      <c r="B9" s="505" t="s">
        <v>543</v>
      </c>
      <c r="C9" s="502"/>
      <c r="D9" s="502"/>
      <c r="E9" s="502"/>
    </row>
  </sheetData>
  <mergeCells count="1">
    <mergeCell ref="A1:E2"/>
  </mergeCells>
  <printOptions horizontalCentered="1" verticalCentered="1"/>
  <pageMargins left="0.70866141732283472" right="0.70866141732283472" top="0.74803149606299213" bottom="0.74803149606299213" header="0.31496062992125984" footer="0.31496062992125984"/>
  <pageSetup paperSize="9" scale="120" orientation="landscape"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9301D-3BE2-4066-BA7F-A0772FB3E727}">
  <sheetPr>
    <tabColor rgb="FF0070C0"/>
    <pageSetUpPr fitToPage="1"/>
  </sheetPr>
  <dimension ref="A1:K8"/>
  <sheetViews>
    <sheetView workbookViewId="0">
      <selection activeCell="E19" sqref="E19"/>
    </sheetView>
  </sheetViews>
  <sheetFormatPr defaultColWidth="11.42578125" defaultRowHeight="15"/>
  <cols>
    <col min="1" max="7" width="30.7109375" customWidth="1"/>
  </cols>
  <sheetData>
    <row r="1" spans="1:11" ht="49.9" customHeight="1">
      <c r="A1" s="392" t="s">
        <v>532</v>
      </c>
      <c r="B1" s="392" t="s">
        <v>546</v>
      </c>
      <c r="C1" s="392" t="s">
        <v>533</v>
      </c>
      <c r="D1" s="392" t="s">
        <v>534</v>
      </c>
      <c r="E1" s="392" t="s">
        <v>535</v>
      </c>
      <c r="F1" s="482" t="s">
        <v>536</v>
      </c>
      <c r="G1" s="392" t="s">
        <v>547</v>
      </c>
    </row>
    <row r="2" spans="1:11" ht="49.9" customHeight="1">
      <c r="A2" s="392" t="s">
        <v>537</v>
      </c>
      <c r="B2" s="393">
        <v>46097</v>
      </c>
      <c r="C2" s="394" t="s">
        <v>548</v>
      </c>
      <c r="D2" s="394" t="s">
        <v>549</v>
      </c>
      <c r="E2" s="394" t="s">
        <v>549</v>
      </c>
      <c r="F2" s="395" t="s">
        <v>548</v>
      </c>
      <c r="G2" s="394" t="s">
        <v>548</v>
      </c>
    </row>
    <row r="3" spans="1:11" ht="49.9" customHeight="1">
      <c r="A3" s="392" t="s">
        <v>538</v>
      </c>
      <c r="B3" s="393">
        <v>46098</v>
      </c>
      <c r="C3" s="394" t="s">
        <v>548</v>
      </c>
      <c r="D3" s="394" t="s">
        <v>548</v>
      </c>
      <c r="E3" s="394" t="s">
        <v>548</v>
      </c>
      <c r="F3" s="395" t="s">
        <v>548</v>
      </c>
      <c r="G3" s="394" t="s">
        <v>548</v>
      </c>
      <c r="H3" s="501"/>
      <c r="I3" s="225"/>
      <c r="J3" s="501"/>
      <c r="K3" s="225"/>
    </row>
    <row r="4" spans="1:11" ht="49.9" customHeight="1">
      <c r="A4" s="392" t="s">
        <v>540</v>
      </c>
      <c r="B4" s="393">
        <v>46099</v>
      </c>
      <c r="C4" s="394" t="s">
        <v>548</v>
      </c>
      <c r="D4" s="394" t="s">
        <v>548</v>
      </c>
      <c r="E4" s="394" t="s">
        <v>548</v>
      </c>
      <c r="F4" s="395" t="s">
        <v>548</v>
      </c>
      <c r="G4" s="394" t="s">
        <v>548</v>
      </c>
      <c r="H4" s="501"/>
      <c r="I4" s="548"/>
      <c r="J4" s="548"/>
      <c r="K4" s="548"/>
    </row>
    <row r="5" spans="1:11" ht="49.9" customHeight="1">
      <c r="A5" s="392" t="s">
        <v>541</v>
      </c>
      <c r="B5" s="393">
        <v>46100</v>
      </c>
      <c r="C5" s="394" t="s">
        <v>548</v>
      </c>
      <c r="D5" s="394" t="s">
        <v>548</v>
      </c>
      <c r="E5" s="394" t="s">
        <v>548</v>
      </c>
      <c r="F5" s="395" t="s">
        <v>548</v>
      </c>
      <c r="G5" s="394" t="s">
        <v>548</v>
      </c>
      <c r="H5" s="501"/>
      <c r="I5" s="548"/>
      <c r="J5" s="548"/>
      <c r="K5" s="548"/>
    </row>
    <row r="6" spans="1:11" ht="49.9" customHeight="1">
      <c r="A6" s="392" t="s">
        <v>544</v>
      </c>
      <c r="B6" s="393">
        <v>46101</v>
      </c>
      <c r="C6" s="394" t="s">
        <v>548</v>
      </c>
      <c r="D6" s="394" t="s">
        <v>548</v>
      </c>
      <c r="E6" s="394" t="s">
        <v>548</v>
      </c>
      <c r="F6" s="395" t="s">
        <v>548</v>
      </c>
      <c r="G6" s="394" t="s">
        <v>548</v>
      </c>
    </row>
    <row r="7" spans="1:11" ht="49.9" customHeight="1">
      <c r="A7" s="392" t="s">
        <v>545</v>
      </c>
      <c r="B7" s="393">
        <v>46102</v>
      </c>
      <c r="C7" s="394" t="s">
        <v>549</v>
      </c>
      <c r="D7" s="394" t="s">
        <v>548</v>
      </c>
      <c r="E7" s="394" t="s">
        <v>548</v>
      </c>
      <c r="F7" s="395" t="s">
        <v>549</v>
      </c>
      <c r="G7" s="394" t="s">
        <v>549</v>
      </c>
    </row>
    <row r="8" spans="1:11" ht="49.9" customHeight="1">
      <c r="A8" s="392" t="s">
        <v>550</v>
      </c>
      <c r="B8" s="393">
        <v>46103</v>
      </c>
      <c r="C8" s="394" t="s">
        <v>549</v>
      </c>
      <c r="D8" s="394" t="s">
        <v>549</v>
      </c>
      <c r="E8" s="394" t="s">
        <v>549</v>
      </c>
      <c r="F8" s="395" t="s">
        <v>549</v>
      </c>
      <c r="G8" s="394" t="s">
        <v>549</v>
      </c>
    </row>
  </sheetData>
  <mergeCells count="2">
    <mergeCell ref="I4:K4"/>
    <mergeCell ref="I5:K5"/>
  </mergeCells>
  <printOptions horizontalCentered="1" verticalCentered="1"/>
  <pageMargins left="0.23622047244094491" right="0.23622047244094491" top="0.74803149606299213" bottom="0.74803149606299213" header="0.31496062992125984" footer="0.31496062992125984"/>
  <pageSetup paperSize="9" scale="66" orientation="landscape"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9F55-EF74-42C3-BD3E-10E0805C3553}">
  <sheetPr>
    <tabColor rgb="FF00B050"/>
    <pageSetUpPr fitToPage="1"/>
  </sheetPr>
  <dimension ref="A1:N27"/>
  <sheetViews>
    <sheetView zoomScale="71" zoomScaleNormal="71" workbookViewId="0">
      <selection activeCell="V4" sqref="U4:V4"/>
    </sheetView>
  </sheetViews>
  <sheetFormatPr defaultColWidth="11.42578125" defaultRowHeight="15"/>
  <cols>
    <col min="1" max="1" width="27.140625" bestFit="1" customWidth="1"/>
    <col min="2" max="2" width="26.85546875" bestFit="1" customWidth="1"/>
    <col min="3" max="3" width="26.85546875" customWidth="1"/>
    <col min="4" max="4" width="20.42578125" customWidth="1"/>
    <col min="5" max="5" width="19.42578125" customWidth="1"/>
    <col min="6" max="6" width="10.85546875" customWidth="1"/>
    <col min="7" max="7" width="15.42578125" bestFit="1" customWidth="1"/>
    <col min="8" max="8" width="15.42578125" customWidth="1"/>
    <col min="9" max="9" width="18" customWidth="1"/>
    <col min="10" max="10" width="24.140625" customWidth="1"/>
    <col min="11" max="11" width="12.28515625" customWidth="1"/>
    <col min="12" max="12" width="13.85546875" bestFit="1" customWidth="1"/>
    <col min="13" max="13" width="17.42578125" customWidth="1"/>
    <col min="14" max="14" width="37.140625" customWidth="1"/>
  </cols>
  <sheetData>
    <row r="1" spans="1:14" ht="81" customHeight="1">
      <c r="A1" s="551" t="s">
        <v>551</v>
      </c>
      <c r="B1" s="552"/>
      <c r="C1" s="552"/>
      <c r="D1" s="552"/>
      <c r="E1" s="553"/>
    </row>
    <row r="2" spans="1:14" ht="58.5" customHeight="1">
      <c r="A2" s="42" t="s">
        <v>0</v>
      </c>
      <c r="B2" s="42" t="s">
        <v>311</v>
      </c>
      <c r="C2" s="42" t="s">
        <v>552</v>
      </c>
      <c r="D2" s="42" t="s">
        <v>312</v>
      </c>
      <c r="E2" s="42" t="s">
        <v>2</v>
      </c>
      <c r="K2" s="16" t="s">
        <v>553</v>
      </c>
      <c r="L2" s="16" t="s">
        <v>554</v>
      </c>
      <c r="M2" s="16" t="s">
        <v>300</v>
      </c>
      <c r="N2" s="17" t="s">
        <v>555</v>
      </c>
    </row>
    <row r="3" spans="1:14" ht="54.95" customHeight="1">
      <c r="A3" s="29" t="s">
        <v>20</v>
      </c>
      <c r="B3" s="32" t="s">
        <v>25</v>
      </c>
      <c r="C3" s="22" t="s">
        <v>40</v>
      </c>
      <c r="D3" s="550" t="s">
        <v>556</v>
      </c>
      <c r="E3" s="550"/>
      <c r="K3" s="16" t="s">
        <v>553</v>
      </c>
      <c r="L3" s="2" t="s">
        <v>557</v>
      </c>
      <c r="M3" s="3" t="s">
        <v>471</v>
      </c>
      <c r="N3" s="4" t="s">
        <v>558</v>
      </c>
    </row>
    <row r="4" spans="1:14" ht="54.95" customHeight="1">
      <c r="A4" s="29" t="s">
        <v>41</v>
      </c>
      <c r="B4" s="32" t="s">
        <v>46</v>
      </c>
      <c r="C4" s="34" t="s">
        <v>234</v>
      </c>
      <c r="D4" s="550" t="s">
        <v>556</v>
      </c>
      <c r="E4" s="550"/>
      <c r="K4" s="16" t="s">
        <v>553</v>
      </c>
      <c r="L4" s="2" t="s">
        <v>559</v>
      </c>
      <c r="M4" s="3" t="s">
        <v>560</v>
      </c>
      <c r="N4" s="5" t="s">
        <v>40</v>
      </c>
    </row>
    <row r="5" spans="1:14" ht="54.95" customHeight="1">
      <c r="A5" s="29" t="s">
        <v>236</v>
      </c>
      <c r="B5" s="32" t="s">
        <v>313</v>
      </c>
      <c r="C5" s="22" t="s">
        <v>40</v>
      </c>
      <c r="D5" s="31" t="s">
        <v>314</v>
      </c>
      <c r="E5" s="23" t="s">
        <v>333</v>
      </c>
      <c r="K5" s="16" t="s">
        <v>553</v>
      </c>
      <c r="L5" s="7"/>
      <c r="M5" s="8"/>
      <c r="N5" s="9" t="s">
        <v>558</v>
      </c>
    </row>
    <row r="6" spans="1:14" ht="54.95" customHeight="1">
      <c r="A6" s="29" t="s">
        <v>50</v>
      </c>
      <c r="B6" s="32" t="s">
        <v>55</v>
      </c>
      <c r="C6" s="22" t="s">
        <v>40</v>
      </c>
      <c r="D6" s="31" t="s">
        <v>315</v>
      </c>
      <c r="E6" s="24" t="s">
        <v>561</v>
      </c>
      <c r="K6" s="16" t="s">
        <v>553</v>
      </c>
      <c r="L6" s="6"/>
      <c r="M6" s="10"/>
      <c r="N6" s="11" t="s">
        <v>40</v>
      </c>
    </row>
    <row r="7" spans="1:14" ht="54.95" customHeight="1">
      <c r="A7" s="29" t="s">
        <v>59</v>
      </c>
      <c r="B7" s="32" t="s">
        <v>562</v>
      </c>
      <c r="C7" s="22" t="s">
        <v>40</v>
      </c>
      <c r="D7" s="31" t="s">
        <v>472</v>
      </c>
      <c r="E7" s="24" t="s">
        <v>51</v>
      </c>
      <c r="K7" s="16" t="s">
        <v>553</v>
      </c>
      <c r="L7" s="2" t="s">
        <v>563</v>
      </c>
      <c r="M7" s="3"/>
      <c r="N7" s="9" t="s">
        <v>558</v>
      </c>
    </row>
    <row r="8" spans="1:14" ht="54.95" customHeight="1">
      <c r="A8" s="29" t="s">
        <v>564</v>
      </c>
      <c r="B8" s="32" t="s">
        <v>81</v>
      </c>
      <c r="C8" s="34" t="s">
        <v>234</v>
      </c>
      <c r="D8" s="31" t="s">
        <v>462</v>
      </c>
      <c r="E8" s="25" t="s">
        <v>77</v>
      </c>
      <c r="K8" s="16" t="s">
        <v>553</v>
      </c>
      <c r="L8" s="6"/>
      <c r="M8" s="10"/>
      <c r="N8" s="11" t="s">
        <v>40</v>
      </c>
    </row>
    <row r="9" spans="1:14" ht="54.95" customHeight="1">
      <c r="A9" s="29" t="s">
        <v>158</v>
      </c>
      <c r="B9" s="32" t="s">
        <v>90</v>
      </c>
      <c r="C9" s="34" t="s">
        <v>234</v>
      </c>
      <c r="D9" s="31" t="s">
        <v>478</v>
      </c>
      <c r="E9" s="23" t="s">
        <v>333</v>
      </c>
      <c r="K9" s="16" t="s">
        <v>553</v>
      </c>
      <c r="L9" s="2" t="s">
        <v>565</v>
      </c>
      <c r="M9" s="3" t="s">
        <v>566</v>
      </c>
      <c r="N9" s="11" t="s">
        <v>40</v>
      </c>
    </row>
    <row r="10" spans="1:14" ht="54.95" customHeight="1">
      <c r="A10" s="29" t="s">
        <v>567</v>
      </c>
      <c r="B10" s="32" t="s">
        <v>98</v>
      </c>
      <c r="C10" s="22" t="s">
        <v>40</v>
      </c>
      <c r="D10" s="31" t="s">
        <v>450</v>
      </c>
      <c r="E10" s="25" t="s">
        <v>77</v>
      </c>
      <c r="K10" s="16" t="s">
        <v>553</v>
      </c>
      <c r="L10" s="2" t="s">
        <v>568</v>
      </c>
      <c r="M10" s="3" t="s">
        <v>569</v>
      </c>
      <c r="N10" s="11" t="s">
        <v>40</v>
      </c>
    </row>
    <row r="11" spans="1:14" ht="54.95" customHeight="1">
      <c r="A11" s="29" t="s">
        <v>101</v>
      </c>
      <c r="B11" s="32" t="s">
        <v>105</v>
      </c>
      <c r="C11" s="22" t="s">
        <v>40</v>
      </c>
      <c r="D11" s="31" t="s">
        <v>320</v>
      </c>
      <c r="E11" s="25" t="s">
        <v>77</v>
      </c>
      <c r="F11" t="s">
        <v>360</v>
      </c>
      <c r="K11" s="16" t="s">
        <v>553</v>
      </c>
      <c r="L11" s="2" t="s">
        <v>559</v>
      </c>
      <c r="M11" s="3" t="s">
        <v>570</v>
      </c>
      <c r="N11" s="11" t="s">
        <v>40</v>
      </c>
    </row>
    <row r="12" spans="1:14" ht="54.95" customHeight="1">
      <c r="A12" s="29" t="s">
        <v>109</v>
      </c>
      <c r="B12" s="32" t="s">
        <v>114</v>
      </c>
      <c r="C12" s="22" t="s">
        <v>40</v>
      </c>
      <c r="D12" s="31" t="s">
        <v>321</v>
      </c>
      <c r="E12" s="26" t="s">
        <v>110</v>
      </c>
      <c r="K12" s="16" t="s">
        <v>553</v>
      </c>
      <c r="L12" s="6"/>
      <c r="M12" s="10"/>
      <c r="N12" s="11" t="s">
        <v>40</v>
      </c>
    </row>
    <row r="13" spans="1:14" ht="54.95" customHeight="1">
      <c r="A13" s="29" t="s">
        <v>324</v>
      </c>
      <c r="B13" s="32" t="s">
        <v>128</v>
      </c>
      <c r="C13" s="22" t="s">
        <v>40</v>
      </c>
      <c r="D13" s="31" t="s">
        <v>325</v>
      </c>
      <c r="E13" s="25" t="s">
        <v>77</v>
      </c>
      <c r="K13" s="16" t="s">
        <v>553</v>
      </c>
      <c r="L13" s="2" t="s">
        <v>521</v>
      </c>
      <c r="M13" s="3" t="s">
        <v>571</v>
      </c>
      <c r="N13" s="11" t="s">
        <v>40</v>
      </c>
    </row>
    <row r="14" spans="1:14" ht="54.95" customHeight="1">
      <c r="A14" s="29" t="s">
        <v>245</v>
      </c>
      <c r="B14" s="32" t="s">
        <v>326</v>
      </c>
      <c r="C14" s="22" t="s">
        <v>40</v>
      </c>
      <c r="D14" s="31" t="s">
        <v>327</v>
      </c>
      <c r="E14" s="24" t="s">
        <v>51</v>
      </c>
      <c r="K14" s="16" t="s">
        <v>553</v>
      </c>
      <c r="L14" s="2"/>
      <c r="M14" s="3" t="s">
        <v>572</v>
      </c>
      <c r="N14" s="11" t="s">
        <v>40</v>
      </c>
    </row>
    <row r="15" spans="1:14" ht="54.95" customHeight="1">
      <c r="A15" s="29" t="s">
        <v>132</v>
      </c>
      <c r="B15" s="32" t="s">
        <v>135</v>
      </c>
      <c r="C15" s="34" t="s">
        <v>234</v>
      </c>
      <c r="D15" s="31" t="s">
        <v>460</v>
      </c>
      <c r="E15" s="27" t="s">
        <v>573</v>
      </c>
      <c r="K15" s="16" t="s">
        <v>553</v>
      </c>
      <c r="L15" s="2" t="s">
        <v>574</v>
      </c>
      <c r="M15" s="3" t="s">
        <v>575</v>
      </c>
      <c r="N15" s="11" t="s">
        <v>40</v>
      </c>
    </row>
    <row r="16" spans="1:14" ht="54.95" customHeight="1">
      <c r="A16" s="29" t="s">
        <v>576</v>
      </c>
      <c r="B16" s="32" t="s">
        <v>330</v>
      </c>
      <c r="C16" s="22" t="s">
        <v>40</v>
      </c>
      <c r="D16" s="31"/>
      <c r="E16" s="23" t="s">
        <v>333</v>
      </c>
      <c r="K16" s="16" t="s">
        <v>553</v>
      </c>
      <c r="L16" s="6"/>
      <c r="M16" s="10"/>
      <c r="N16" s="11" t="s">
        <v>40</v>
      </c>
    </row>
    <row r="17" spans="1:14" ht="54.95" customHeight="1">
      <c r="A17" s="29" t="s">
        <v>577</v>
      </c>
      <c r="B17" s="32" t="s">
        <v>147</v>
      </c>
      <c r="C17" s="22" t="s">
        <v>40</v>
      </c>
      <c r="D17" s="31" t="s">
        <v>318</v>
      </c>
      <c r="E17" s="502" t="s">
        <v>578</v>
      </c>
      <c r="K17" s="16" t="s">
        <v>553</v>
      </c>
      <c r="L17" s="2" t="s">
        <v>490</v>
      </c>
      <c r="M17" s="3" t="s">
        <v>579</v>
      </c>
      <c r="N17" s="11" t="s">
        <v>40</v>
      </c>
    </row>
    <row r="18" spans="1:14" ht="54.95" customHeight="1">
      <c r="A18" s="29" t="s">
        <v>150</v>
      </c>
      <c r="B18" s="32" t="s">
        <v>154</v>
      </c>
      <c r="C18" s="34" t="s">
        <v>234</v>
      </c>
      <c r="D18" s="31" t="s">
        <v>334</v>
      </c>
      <c r="E18" s="23" t="s">
        <v>333</v>
      </c>
      <c r="K18" s="16" t="s">
        <v>553</v>
      </c>
      <c r="L18" s="2" t="s">
        <v>559</v>
      </c>
      <c r="M18" s="3" t="s">
        <v>580</v>
      </c>
      <c r="N18" s="9" t="s">
        <v>558</v>
      </c>
    </row>
    <row r="19" spans="1:14" ht="54.95" customHeight="1">
      <c r="A19" s="29"/>
      <c r="B19" s="32" t="s">
        <v>335</v>
      </c>
      <c r="C19" s="34" t="s">
        <v>234</v>
      </c>
      <c r="D19" s="31"/>
      <c r="E19" s="28" t="s">
        <v>581</v>
      </c>
      <c r="K19" s="16" t="s">
        <v>553</v>
      </c>
      <c r="L19" s="6" t="s">
        <v>582</v>
      </c>
      <c r="M19" s="8"/>
      <c r="N19" s="9" t="s">
        <v>558</v>
      </c>
    </row>
    <row r="20" spans="1:14" ht="54.95" customHeight="1">
      <c r="A20" s="29" t="s">
        <v>583</v>
      </c>
      <c r="B20" s="32" t="s">
        <v>170</v>
      </c>
      <c r="C20" s="22" t="s">
        <v>40</v>
      </c>
      <c r="D20" s="31" t="s">
        <v>339</v>
      </c>
      <c r="E20" s="23" t="s">
        <v>333</v>
      </c>
      <c r="K20" s="16" t="s">
        <v>553</v>
      </c>
      <c r="L20" s="2"/>
      <c r="M20" s="3" t="s">
        <v>584</v>
      </c>
      <c r="N20" s="11" t="s">
        <v>40</v>
      </c>
    </row>
    <row r="21" spans="1:14" ht="54.95" customHeight="1">
      <c r="A21" s="30" t="s">
        <v>479</v>
      </c>
      <c r="B21" s="33">
        <v>766802544</v>
      </c>
      <c r="C21" s="34" t="s">
        <v>234</v>
      </c>
      <c r="D21" s="31" t="s">
        <v>455</v>
      </c>
      <c r="E21" s="23" t="s">
        <v>585</v>
      </c>
      <c r="K21" s="16" t="s">
        <v>553</v>
      </c>
      <c r="L21" s="2"/>
      <c r="M21" s="3" t="s">
        <v>586</v>
      </c>
      <c r="N21" s="11" t="s">
        <v>40</v>
      </c>
    </row>
    <row r="22" spans="1:14" ht="54.95" customHeight="1">
      <c r="A22" s="30" t="s">
        <v>587</v>
      </c>
      <c r="B22" s="33"/>
      <c r="C22" s="34"/>
      <c r="D22" s="31" t="s">
        <v>475</v>
      </c>
      <c r="E22" s="112" t="s">
        <v>124</v>
      </c>
      <c r="K22" s="16" t="s">
        <v>553</v>
      </c>
      <c r="L22" s="6"/>
      <c r="M22" s="8"/>
      <c r="N22" s="11" t="s">
        <v>40</v>
      </c>
    </row>
    <row r="23" spans="1:14" ht="46.5" customHeight="1">
      <c r="A23" s="30" t="s">
        <v>588</v>
      </c>
      <c r="B23" s="33">
        <v>706588608</v>
      </c>
      <c r="C23" s="34" t="s">
        <v>234</v>
      </c>
      <c r="D23" s="31" t="s">
        <v>589</v>
      </c>
      <c r="E23" s="23" t="s">
        <v>590</v>
      </c>
      <c r="K23" s="16" t="s">
        <v>553</v>
      </c>
      <c r="L23" s="2" t="s">
        <v>559</v>
      </c>
      <c r="M23" s="3" t="s">
        <v>591</v>
      </c>
      <c r="N23" s="11" t="s">
        <v>40</v>
      </c>
    </row>
    <row r="24" spans="1:14" ht="25.5" customHeight="1">
      <c r="A24" t="s">
        <v>592</v>
      </c>
      <c r="K24" s="16" t="s">
        <v>553</v>
      </c>
    </row>
    <row r="25" spans="1:14" ht="25.5" customHeight="1">
      <c r="C25" s="19"/>
    </row>
    <row r="26" spans="1:14">
      <c r="A26" s="12" t="s">
        <v>41</v>
      </c>
      <c r="B26" s="13" t="s">
        <v>46</v>
      </c>
      <c r="C26" s="19"/>
    </row>
    <row r="27" spans="1:14">
      <c r="A27" s="13" t="s">
        <v>144</v>
      </c>
      <c r="B27" s="14" t="s">
        <v>147</v>
      </c>
      <c r="C27" s="12" t="s">
        <v>20</v>
      </c>
      <c r="D27" s="13" t="s">
        <v>25</v>
      </c>
    </row>
  </sheetData>
  <mergeCells count="3">
    <mergeCell ref="D3:E3"/>
    <mergeCell ref="D4:E4"/>
    <mergeCell ref="A1:E1"/>
  </mergeCells>
  <printOptions horizontalCentered="1"/>
  <pageMargins left="0" right="0.19685039370078741" top="0" bottom="0" header="0" footer="0"/>
  <pageSetup paperSize="9" scale="63" orientation="portrait" horizontalDpi="360"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3F679-FA8C-4DC3-AFD4-6CDB2DE63577}">
  <sheetPr>
    <pageSetUpPr fitToPage="1"/>
  </sheetPr>
  <dimension ref="A1:O44"/>
  <sheetViews>
    <sheetView workbookViewId="0">
      <selection activeCell="A9" sqref="A9"/>
    </sheetView>
  </sheetViews>
  <sheetFormatPr defaultColWidth="11.42578125" defaultRowHeight="19.5"/>
  <cols>
    <col min="1" max="1" width="19.140625" style="122" customWidth="1"/>
    <col min="2" max="2" width="12.7109375" bestFit="1" customWidth="1"/>
    <col min="3" max="3" width="22.42578125" bestFit="1" customWidth="1"/>
    <col min="4" max="4" width="11.7109375" bestFit="1" customWidth="1"/>
    <col min="5" max="5" width="26" bestFit="1" customWidth="1"/>
    <col min="6" max="6" width="15.28515625" bestFit="1" customWidth="1"/>
    <col min="7" max="7" width="22" bestFit="1" customWidth="1"/>
    <col min="8" max="8" width="27" bestFit="1" customWidth="1"/>
    <col min="9" max="9" width="100.42578125" customWidth="1"/>
  </cols>
  <sheetData>
    <row r="1" spans="1:14" ht="55.5" customHeight="1">
      <c r="A1" s="120" t="e" vm="1">
        <v>#VALUE!</v>
      </c>
      <c r="B1" s="49" t="s">
        <v>593</v>
      </c>
      <c r="C1" s="49" t="s">
        <v>594</v>
      </c>
      <c r="D1" s="49" t="s">
        <v>595</v>
      </c>
      <c r="E1" s="118" t="s">
        <v>596</v>
      </c>
      <c r="F1" s="118" t="s">
        <v>597</v>
      </c>
      <c r="G1" s="118" t="s">
        <v>598</v>
      </c>
      <c r="H1" s="49" t="s">
        <v>599</v>
      </c>
      <c r="I1" s="50" t="s">
        <v>600</v>
      </c>
      <c r="J1" s="501"/>
      <c r="K1" s="501"/>
      <c r="L1" s="501"/>
      <c r="M1" s="501"/>
      <c r="N1" s="501"/>
    </row>
    <row r="2" spans="1:14" ht="85.5" customHeight="1">
      <c r="A2" s="137" t="s">
        <v>315</v>
      </c>
      <c r="B2" s="152" t="s">
        <v>164</v>
      </c>
      <c r="C2" s="152" t="s">
        <v>164</v>
      </c>
      <c r="D2" s="115"/>
      <c r="E2" s="115"/>
      <c r="F2" s="115"/>
      <c r="G2" s="115"/>
      <c r="H2" s="115"/>
      <c r="I2" s="119" t="s">
        <v>601</v>
      </c>
      <c r="J2" s="501"/>
      <c r="K2" s="51" t="s">
        <v>602</v>
      </c>
      <c r="L2" s="501"/>
      <c r="M2" s="501"/>
      <c r="N2" s="501"/>
    </row>
    <row r="3" spans="1:14" ht="58.5">
      <c r="A3" s="137" t="s">
        <v>325</v>
      </c>
      <c r="B3" s="115"/>
      <c r="C3" s="116" t="s">
        <v>603</v>
      </c>
      <c r="D3" s="115"/>
      <c r="E3" s="115"/>
      <c r="F3" s="115"/>
      <c r="G3" s="115"/>
      <c r="H3" s="115"/>
      <c r="I3" s="119" t="s">
        <v>604</v>
      </c>
      <c r="J3" s="501"/>
      <c r="K3" s="501"/>
      <c r="L3" s="501"/>
      <c r="M3" s="501"/>
      <c r="N3" s="501"/>
    </row>
    <row r="4" spans="1:14" ht="66" customHeight="1">
      <c r="A4" s="137" t="s">
        <v>450</v>
      </c>
      <c r="B4" s="152" t="s">
        <v>164</v>
      </c>
      <c r="C4" s="115" t="s">
        <v>603</v>
      </c>
      <c r="D4" s="115"/>
      <c r="E4" s="115"/>
      <c r="F4" s="153" t="s">
        <v>605</v>
      </c>
      <c r="G4" s="115"/>
      <c r="H4" s="115"/>
      <c r="I4" s="119" t="s">
        <v>606</v>
      </c>
      <c r="J4" s="501"/>
      <c r="K4" s="501"/>
      <c r="L4" s="501"/>
      <c r="M4" s="501"/>
      <c r="N4" s="501"/>
    </row>
    <row r="5" spans="1:14" ht="39">
      <c r="A5" s="137" t="s">
        <v>589</v>
      </c>
      <c r="B5" s="152" t="s">
        <v>164</v>
      </c>
      <c r="C5" s="152" t="s">
        <v>164</v>
      </c>
      <c r="D5" s="115"/>
      <c r="E5" s="115"/>
      <c r="F5" s="115"/>
      <c r="G5" s="115"/>
      <c r="H5" s="115"/>
      <c r="I5" s="119" t="s">
        <v>607</v>
      </c>
      <c r="J5" s="501"/>
      <c r="K5" s="501"/>
      <c r="L5" s="501"/>
      <c r="M5" s="501"/>
      <c r="N5" s="501"/>
    </row>
    <row r="6" spans="1:14" ht="24">
      <c r="A6" s="137" t="s">
        <v>320</v>
      </c>
      <c r="B6" s="115"/>
      <c r="C6" s="116" t="s">
        <v>603</v>
      </c>
      <c r="D6" s="115"/>
      <c r="E6" s="115"/>
      <c r="F6" s="115"/>
      <c r="G6" s="115"/>
      <c r="H6" s="115"/>
      <c r="I6" s="119" t="s">
        <v>608</v>
      </c>
      <c r="J6" s="501"/>
      <c r="K6" s="501"/>
      <c r="L6" s="501"/>
      <c r="M6" s="501"/>
      <c r="N6" s="501"/>
    </row>
    <row r="7" spans="1:14" ht="42" customHeight="1">
      <c r="A7" s="137" t="s">
        <v>334</v>
      </c>
      <c r="B7" s="115"/>
      <c r="C7" s="152" t="s">
        <v>164</v>
      </c>
      <c r="D7" s="115"/>
      <c r="E7" s="115"/>
      <c r="F7" s="115"/>
      <c r="G7" s="115"/>
      <c r="H7" s="115"/>
      <c r="I7" s="119" t="s">
        <v>609</v>
      </c>
      <c r="J7" s="501"/>
      <c r="K7" s="501"/>
      <c r="L7" s="501"/>
      <c r="M7" s="501"/>
      <c r="N7" s="501"/>
    </row>
    <row r="8" spans="1:14" ht="43.5" customHeight="1">
      <c r="A8" s="137" t="s">
        <v>472</v>
      </c>
      <c r="B8" s="115"/>
      <c r="C8" s="152" t="s">
        <v>164</v>
      </c>
      <c r="D8" s="115"/>
      <c r="E8" s="115"/>
      <c r="F8" s="153" t="s">
        <v>605</v>
      </c>
      <c r="G8" s="115"/>
      <c r="H8" s="115"/>
      <c r="I8" s="119" t="s">
        <v>610</v>
      </c>
      <c r="J8" s="501"/>
      <c r="K8" s="501"/>
      <c r="L8" s="501"/>
      <c r="M8" s="501"/>
      <c r="N8" s="501"/>
    </row>
    <row r="9" spans="1:14" ht="39">
      <c r="A9" s="137" t="s">
        <v>462</v>
      </c>
      <c r="B9" s="115"/>
      <c r="C9" s="116" t="s">
        <v>603</v>
      </c>
      <c r="D9" s="115"/>
      <c r="E9" s="115"/>
      <c r="F9" s="115"/>
      <c r="G9" s="115"/>
      <c r="H9" s="115"/>
      <c r="I9" s="119" t="s">
        <v>611</v>
      </c>
      <c r="J9" s="501"/>
      <c r="K9" s="501"/>
      <c r="L9" s="501"/>
      <c r="M9" s="501"/>
      <c r="N9" s="501"/>
    </row>
    <row r="10" spans="1:14" ht="58.5">
      <c r="A10" s="137" t="s">
        <v>478</v>
      </c>
      <c r="B10" s="115"/>
      <c r="C10" s="116" t="s">
        <v>603</v>
      </c>
      <c r="D10" s="115"/>
      <c r="E10" s="115"/>
      <c r="F10" s="115"/>
      <c r="G10" s="115"/>
      <c r="H10" s="115"/>
      <c r="I10" s="119" t="s">
        <v>612</v>
      </c>
      <c r="J10" s="501"/>
      <c r="K10" s="501"/>
      <c r="L10" s="501"/>
      <c r="M10" s="501"/>
      <c r="N10" s="501"/>
    </row>
    <row r="11" spans="1:14" ht="34.5">
      <c r="A11" s="137" t="s">
        <v>339</v>
      </c>
      <c r="B11" s="152" t="s">
        <v>164</v>
      </c>
      <c r="C11" s="152" t="s">
        <v>164</v>
      </c>
      <c r="D11" s="115"/>
      <c r="E11" s="150" t="s">
        <v>613</v>
      </c>
      <c r="F11" s="115"/>
      <c r="G11" s="115"/>
      <c r="H11" s="150" t="s">
        <v>614</v>
      </c>
      <c r="I11" s="119" t="s">
        <v>615</v>
      </c>
      <c r="J11" s="501"/>
      <c r="K11" s="501"/>
      <c r="L11" s="501"/>
      <c r="M11" s="501"/>
      <c r="N11" s="501"/>
    </row>
    <row r="12" spans="1:14" ht="24">
      <c r="A12" s="137" t="s">
        <v>321</v>
      </c>
      <c r="B12" s="152" t="s">
        <v>164</v>
      </c>
      <c r="C12" s="152" t="s">
        <v>164</v>
      </c>
      <c r="D12" s="115"/>
      <c r="E12" s="115"/>
      <c r="F12" s="115"/>
      <c r="G12" s="115"/>
      <c r="H12" s="115"/>
      <c r="I12" s="119" t="s">
        <v>616</v>
      </c>
      <c r="J12" s="501"/>
      <c r="K12" s="501"/>
      <c r="L12" s="501"/>
      <c r="M12" s="501"/>
      <c r="N12" s="501"/>
    </row>
    <row r="13" spans="1:14" ht="24">
      <c r="A13" s="137" t="s">
        <v>331</v>
      </c>
      <c r="B13" s="115"/>
      <c r="C13" s="152" t="s">
        <v>164</v>
      </c>
      <c r="D13" s="115"/>
      <c r="E13" s="115"/>
      <c r="F13" s="115"/>
      <c r="G13" s="115"/>
      <c r="H13" s="115"/>
      <c r="I13" s="119" t="s">
        <v>617</v>
      </c>
      <c r="J13" s="501"/>
      <c r="K13" s="501"/>
      <c r="L13" s="501"/>
      <c r="M13" s="501"/>
      <c r="N13" s="501"/>
    </row>
    <row r="14" spans="1:14" ht="24">
      <c r="A14" s="137" t="s">
        <v>460</v>
      </c>
      <c r="B14" s="152" t="s">
        <v>164</v>
      </c>
      <c r="C14" s="152" t="s">
        <v>164</v>
      </c>
      <c r="D14" s="115"/>
      <c r="E14" s="115"/>
      <c r="F14" s="115"/>
      <c r="G14" s="115"/>
      <c r="H14" s="115"/>
      <c r="I14" s="119" t="s">
        <v>618</v>
      </c>
      <c r="J14" s="501"/>
      <c r="K14" s="501"/>
      <c r="L14" s="501"/>
      <c r="M14" s="501"/>
      <c r="N14" s="501"/>
    </row>
    <row r="15" spans="1:14" ht="24">
      <c r="A15" s="137" t="s">
        <v>329</v>
      </c>
      <c r="B15" s="115"/>
      <c r="C15" s="152" t="s">
        <v>164</v>
      </c>
      <c r="D15" s="115"/>
      <c r="E15" s="115"/>
      <c r="F15" s="115"/>
      <c r="G15" s="115"/>
      <c r="H15" s="115"/>
      <c r="I15" s="119" t="s">
        <v>619</v>
      </c>
      <c r="J15" s="501"/>
      <c r="K15" s="501"/>
      <c r="L15" s="501"/>
      <c r="M15" s="501"/>
      <c r="N15" s="501"/>
    </row>
    <row r="16" spans="1:14" ht="24">
      <c r="A16" s="137" t="s">
        <v>336</v>
      </c>
      <c r="B16" s="115"/>
      <c r="C16" s="116" t="s">
        <v>603</v>
      </c>
      <c r="D16" s="115"/>
      <c r="E16" s="115"/>
      <c r="F16" s="115"/>
      <c r="G16" s="115"/>
      <c r="H16" s="115"/>
      <c r="I16" s="119" t="s">
        <v>620</v>
      </c>
      <c r="J16" s="501"/>
      <c r="K16" s="501"/>
      <c r="L16" s="501"/>
      <c r="M16" s="501"/>
      <c r="N16" s="501"/>
    </row>
    <row r="17" spans="1:15" ht="45.75" customHeight="1">
      <c r="A17" s="138" t="s">
        <v>332</v>
      </c>
      <c r="B17" s="115"/>
      <c r="C17" s="152" t="s">
        <v>164</v>
      </c>
      <c r="D17" s="117"/>
      <c r="E17" s="117"/>
      <c r="F17" s="117"/>
      <c r="G17" s="117"/>
      <c r="H17" s="117"/>
      <c r="I17" s="119" t="s">
        <v>621</v>
      </c>
      <c r="J17" s="501"/>
      <c r="K17" s="501"/>
      <c r="L17" s="501"/>
      <c r="M17" s="501"/>
      <c r="N17" s="501"/>
      <c r="O17" t="s">
        <v>360</v>
      </c>
    </row>
    <row r="18" spans="1:15" ht="24">
      <c r="A18" s="137" t="s">
        <v>314</v>
      </c>
      <c r="B18" s="114" t="s">
        <v>164</v>
      </c>
      <c r="C18" s="152" t="s">
        <v>164</v>
      </c>
      <c r="D18" s="115"/>
      <c r="E18" s="115"/>
      <c r="F18" s="115"/>
      <c r="G18" s="115"/>
      <c r="H18" s="115"/>
      <c r="I18" s="119" t="s">
        <v>622</v>
      </c>
      <c r="J18" s="501"/>
      <c r="K18" s="501"/>
      <c r="L18" s="501"/>
      <c r="M18" s="501"/>
      <c r="N18" s="501"/>
    </row>
    <row r="19" spans="1:15" ht="39">
      <c r="A19" s="138" t="s">
        <v>451</v>
      </c>
      <c r="B19" s="115"/>
      <c r="C19" s="116" t="s">
        <v>603</v>
      </c>
      <c r="D19" s="115"/>
      <c r="E19" s="151" t="s">
        <v>623</v>
      </c>
      <c r="F19" s="115"/>
      <c r="G19" s="115"/>
      <c r="H19" s="151">
        <v>45883</v>
      </c>
      <c r="I19" s="119" t="s">
        <v>624</v>
      </c>
      <c r="J19" s="501"/>
      <c r="K19" s="501"/>
      <c r="L19" s="501"/>
      <c r="M19" s="501"/>
      <c r="N19" s="501"/>
    </row>
    <row r="20" spans="1:15" ht="39">
      <c r="A20" s="139" t="s">
        <v>475</v>
      </c>
      <c r="B20" s="115"/>
      <c r="C20" s="152" t="s">
        <v>164</v>
      </c>
      <c r="D20" s="115"/>
      <c r="E20" s="115"/>
      <c r="F20" s="115"/>
      <c r="G20" s="115"/>
      <c r="H20" s="115"/>
      <c r="I20" s="119" t="s">
        <v>625</v>
      </c>
      <c r="J20" s="501"/>
      <c r="K20" s="501"/>
      <c r="L20" s="501"/>
      <c r="M20" s="501"/>
      <c r="N20" s="501"/>
    </row>
    <row r="21" spans="1:15" ht="24">
      <c r="A21" s="140" t="s">
        <v>455</v>
      </c>
      <c r="B21" s="115"/>
      <c r="C21" s="116" t="s">
        <v>603</v>
      </c>
      <c r="D21" s="115"/>
      <c r="E21" s="115"/>
      <c r="F21" s="115"/>
      <c r="G21" s="115"/>
      <c r="H21" s="115"/>
      <c r="I21" s="119" t="s">
        <v>626</v>
      </c>
      <c r="J21" s="501"/>
      <c r="K21" s="501"/>
      <c r="L21" s="501"/>
      <c r="M21" s="501"/>
      <c r="N21" s="501"/>
    </row>
    <row r="22" spans="1:15" ht="24">
      <c r="A22" s="137" t="s">
        <v>483</v>
      </c>
      <c r="B22" s="115"/>
      <c r="C22" s="152" t="s">
        <v>164</v>
      </c>
      <c r="D22" s="115"/>
      <c r="E22" s="115"/>
      <c r="F22" s="115"/>
      <c r="G22" s="115"/>
      <c r="H22" s="115"/>
      <c r="I22" s="119" t="s">
        <v>627</v>
      </c>
      <c r="J22" s="501"/>
      <c r="K22" s="501"/>
      <c r="L22" s="501"/>
      <c r="M22" s="501"/>
      <c r="N22" s="501"/>
    </row>
    <row r="23" spans="1:15" ht="24">
      <c r="A23" s="137" t="s">
        <v>474</v>
      </c>
      <c r="B23" s="115"/>
      <c r="C23" s="152" t="s">
        <v>164</v>
      </c>
      <c r="D23" s="115"/>
      <c r="E23" s="115"/>
      <c r="F23" s="115"/>
      <c r="G23" s="115"/>
      <c r="H23" s="115"/>
      <c r="I23" s="119" t="s">
        <v>628</v>
      </c>
      <c r="J23" s="501"/>
      <c r="K23" s="501"/>
      <c r="L23" s="501"/>
      <c r="M23" s="501"/>
      <c r="N23" s="501"/>
    </row>
    <row r="24" spans="1:15" ht="39">
      <c r="A24" s="137" t="s">
        <v>327</v>
      </c>
      <c r="B24" s="115"/>
      <c r="C24" s="152" t="s">
        <v>164</v>
      </c>
      <c r="D24" s="115"/>
      <c r="E24" s="115"/>
      <c r="F24" s="153" t="s">
        <v>605</v>
      </c>
      <c r="G24" s="115"/>
      <c r="H24" s="115"/>
      <c r="I24" s="119" t="s">
        <v>629</v>
      </c>
    </row>
    <row r="25" spans="1:15" ht="58.5" customHeight="1">
      <c r="A25" s="121"/>
      <c r="B25" s="501"/>
      <c r="C25" s="501"/>
      <c r="D25" s="501"/>
      <c r="E25" s="501"/>
      <c r="F25" s="501"/>
      <c r="G25" s="501"/>
      <c r="H25" s="501"/>
    </row>
    <row r="26" spans="1:15">
      <c r="A26" s="121"/>
      <c r="B26" s="501"/>
      <c r="C26" s="501"/>
      <c r="D26" s="501"/>
      <c r="E26" s="501"/>
      <c r="F26" s="501"/>
      <c r="G26" s="501"/>
      <c r="H26" s="501"/>
    </row>
    <row r="27" spans="1:15">
      <c r="A27" s="121"/>
      <c r="B27" s="501"/>
      <c r="C27" s="501"/>
      <c r="D27" s="501"/>
      <c r="E27" s="501"/>
      <c r="F27" s="501"/>
      <c r="G27" s="501"/>
      <c r="H27" s="501"/>
    </row>
    <row r="28" spans="1:15">
      <c r="A28" s="121"/>
      <c r="B28" s="501"/>
      <c r="C28" s="501"/>
      <c r="D28" s="501"/>
      <c r="E28" s="501"/>
      <c r="F28" s="501"/>
      <c r="G28" s="501"/>
      <c r="H28" s="501"/>
    </row>
    <row r="29" spans="1:15">
      <c r="A29" s="121"/>
      <c r="B29" s="501"/>
      <c r="C29" s="501"/>
      <c r="D29" s="501"/>
      <c r="E29" s="501"/>
      <c r="F29" s="501"/>
      <c r="G29" s="501"/>
      <c r="H29" s="501"/>
    </row>
    <row r="30" spans="1:15">
      <c r="A30" s="121"/>
      <c r="B30" s="501"/>
      <c r="C30" s="501"/>
      <c r="D30" s="501"/>
      <c r="E30" s="501"/>
      <c r="F30" s="501"/>
      <c r="G30" s="501"/>
      <c r="H30" s="501"/>
    </row>
    <row r="31" spans="1:15">
      <c r="A31" s="121"/>
      <c r="B31" s="501"/>
      <c r="C31" s="501"/>
      <c r="D31" s="501"/>
      <c r="E31" s="501"/>
      <c r="F31" s="501"/>
      <c r="G31" s="501"/>
      <c r="H31" s="501"/>
    </row>
    <row r="32" spans="1:15">
      <c r="A32" s="121"/>
      <c r="B32" s="501"/>
      <c r="C32" s="501"/>
      <c r="D32" s="501"/>
      <c r="E32" s="501"/>
      <c r="F32" s="501"/>
      <c r="G32" s="501"/>
      <c r="H32" s="501"/>
    </row>
    <row r="33" spans="1:8">
      <c r="A33" s="121"/>
      <c r="B33" s="501"/>
      <c r="C33" s="501"/>
      <c r="D33" s="501"/>
      <c r="E33" s="501"/>
      <c r="F33" s="501"/>
      <c r="G33" s="501"/>
      <c r="H33" s="501"/>
    </row>
    <row r="34" spans="1:8">
      <c r="A34" s="121"/>
      <c r="B34" s="501"/>
      <c r="C34" s="501"/>
      <c r="D34" s="501"/>
      <c r="E34" s="501"/>
      <c r="F34" s="501"/>
      <c r="G34" s="501"/>
      <c r="H34" s="501"/>
    </row>
    <row r="35" spans="1:8">
      <c r="A35" s="121"/>
      <c r="B35" s="501"/>
      <c r="C35" s="501"/>
      <c r="D35" s="501"/>
      <c r="E35" s="501"/>
      <c r="F35" s="501"/>
      <c r="G35" s="501"/>
      <c r="H35" s="501"/>
    </row>
    <row r="36" spans="1:8">
      <c r="A36" s="121"/>
      <c r="B36" s="501"/>
      <c r="C36" s="501"/>
      <c r="D36" s="501"/>
      <c r="E36" s="501"/>
      <c r="F36" s="501"/>
      <c r="G36" s="501"/>
      <c r="H36" s="501"/>
    </row>
    <row r="37" spans="1:8">
      <c r="A37" s="121"/>
      <c r="B37" s="501"/>
      <c r="C37" s="501"/>
      <c r="D37" s="501"/>
      <c r="E37" s="501"/>
      <c r="F37" s="501"/>
      <c r="G37" s="501"/>
      <c r="H37" s="501"/>
    </row>
    <row r="38" spans="1:8">
      <c r="A38" s="121"/>
      <c r="B38" s="501"/>
      <c r="C38" s="501"/>
      <c r="D38" s="501"/>
      <c r="E38" s="501"/>
      <c r="F38" s="501"/>
      <c r="G38" s="501"/>
      <c r="H38" s="501"/>
    </row>
    <row r="39" spans="1:8">
      <c r="A39" s="121"/>
      <c r="B39" s="501"/>
      <c r="C39" s="501"/>
      <c r="D39" s="501"/>
      <c r="E39" s="501"/>
      <c r="F39" s="501"/>
      <c r="G39" s="501"/>
      <c r="H39" s="501"/>
    </row>
    <row r="40" spans="1:8">
      <c r="A40" s="121"/>
      <c r="B40" s="501"/>
      <c r="C40" s="501"/>
      <c r="D40" s="501"/>
      <c r="E40" s="501"/>
      <c r="F40" s="501"/>
      <c r="G40" s="501"/>
      <c r="H40" s="501"/>
    </row>
    <row r="41" spans="1:8">
      <c r="A41" s="121"/>
      <c r="B41" s="501"/>
      <c r="C41" s="501"/>
      <c r="D41" s="501"/>
      <c r="E41" s="501"/>
      <c r="F41" s="501"/>
      <c r="G41" s="501"/>
      <c r="H41" s="501"/>
    </row>
    <row r="42" spans="1:8">
      <c r="A42" s="121"/>
      <c r="B42" s="501"/>
      <c r="C42" s="501"/>
      <c r="D42" s="501"/>
      <c r="E42" s="501"/>
      <c r="F42" s="501"/>
      <c r="G42" s="501"/>
      <c r="H42" s="501"/>
    </row>
    <row r="43" spans="1:8">
      <c r="A43" s="121"/>
      <c r="B43" s="501"/>
      <c r="C43" s="501"/>
      <c r="D43" s="501"/>
      <c r="E43" s="501"/>
      <c r="F43" s="501"/>
      <c r="G43" s="501"/>
      <c r="H43" s="501"/>
    </row>
    <row r="44" spans="1:8">
      <c r="A44" s="121"/>
      <c r="B44" s="501"/>
      <c r="C44" s="501"/>
      <c r="D44" s="501"/>
      <c r="E44" s="501"/>
      <c r="F44" s="501"/>
      <c r="G44" s="501"/>
      <c r="H44" s="501"/>
    </row>
  </sheetData>
  <pageMargins left="0.23622047244094491" right="0.23622047244094491" top="0.35433070866141736" bottom="0.35433070866141736" header="0.31496062992125984" footer="0.31496062992125984"/>
  <pageSetup paperSize="9" scale="57" fitToWidth="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1710-5D70-4B61-AE29-37AD6B24ABCB}">
  <dimension ref="A1:D5"/>
  <sheetViews>
    <sheetView workbookViewId="0">
      <selection activeCell="D13" sqref="D13"/>
    </sheetView>
  </sheetViews>
  <sheetFormatPr defaultColWidth="11.42578125" defaultRowHeight="15"/>
  <cols>
    <col min="1" max="1" width="27.140625" customWidth="1"/>
    <col min="2" max="2" width="30.7109375" customWidth="1"/>
    <col min="3" max="3" width="29" customWidth="1"/>
    <col min="4" max="4" width="29.28515625" customWidth="1"/>
  </cols>
  <sheetData>
    <row r="1" spans="1:4">
      <c r="A1" s="141" t="s">
        <v>630</v>
      </c>
      <c r="B1" s="141" t="s">
        <v>631</v>
      </c>
      <c r="C1" s="141" t="s">
        <v>632</v>
      </c>
      <c r="D1" s="141" t="s">
        <v>633</v>
      </c>
    </row>
    <row r="2" spans="1:4" ht="48.75" customHeight="1">
      <c r="A2" s="142" t="s">
        <v>293</v>
      </c>
      <c r="B2" s="136" t="s">
        <v>334</v>
      </c>
      <c r="C2" s="43" t="s">
        <v>558</v>
      </c>
      <c r="D2" s="43" t="s">
        <v>558</v>
      </c>
    </row>
    <row r="3" spans="1:4" ht="54" customHeight="1">
      <c r="A3" s="142" t="s">
        <v>247</v>
      </c>
      <c r="B3" s="136" t="s">
        <v>331</v>
      </c>
      <c r="C3" s="43" t="s">
        <v>558</v>
      </c>
      <c r="D3" s="43" t="s">
        <v>558</v>
      </c>
    </row>
    <row r="4" spans="1:4" ht="60" customHeight="1">
      <c r="A4" s="142" t="s">
        <v>158</v>
      </c>
      <c r="B4" s="136" t="s">
        <v>478</v>
      </c>
      <c r="C4" s="43" t="s">
        <v>558</v>
      </c>
      <c r="D4" s="43" t="s">
        <v>558</v>
      </c>
    </row>
    <row r="5" spans="1:4" ht="49.5" customHeight="1">
      <c r="A5" s="142" t="s">
        <v>252</v>
      </c>
      <c r="B5" s="136" t="s">
        <v>339</v>
      </c>
      <c r="C5" s="43" t="s">
        <v>558</v>
      </c>
      <c r="D5" s="43" t="s">
        <v>558</v>
      </c>
    </row>
  </sheetData>
  <pageMargins left="0.7" right="0.7" top="0.75" bottom="0.75" header="0.3" footer="0.3"/>
  <pageSetup paperSize="9" orientation="portrait" horizontalDpi="360" verticalDpi="36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AC7DF-479F-4C5B-882D-91E4EA1D0F12}">
  <dimension ref="A3:L94"/>
  <sheetViews>
    <sheetView zoomScale="89" zoomScaleNormal="89" workbookViewId="0">
      <selection activeCell="C13" sqref="C13"/>
    </sheetView>
  </sheetViews>
  <sheetFormatPr defaultColWidth="11.42578125" defaultRowHeight="15"/>
  <cols>
    <col min="1" max="1" width="31.140625" bestFit="1" customWidth="1"/>
    <col min="2" max="2" width="48.5703125" bestFit="1" customWidth="1"/>
    <col min="3" max="3" width="36.28515625" customWidth="1"/>
    <col min="4" max="4" width="55.28515625" customWidth="1"/>
    <col min="5" max="5" width="22.7109375" customWidth="1"/>
  </cols>
  <sheetData>
    <row r="3" spans="1:12" ht="30.75" customHeight="1">
      <c r="A3" s="122"/>
      <c r="B3" s="144" t="s">
        <v>634</v>
      </c>
      <c r="C3" s="120" t="s">
        <v>635</v>
      </c>
      <c r="D3" s="120" t="s">
        <v>636</v>
      </c>
      <c r="E3" s="501"/>
      <c r="F3" s="501"/>
      <c r="G3" s="501"/>
      <c r="H3" s="501"/>
      <c r="I3" s="501"/>
      <c r="J3" s="501"/>
      <c r="K3" s="501"/>
      <c r="L3" s="501"/>
    </row>
    <row r="4" spans="1:12" ht="39.6" customHeight="1">
      <c r="A4" s="145" t="s">
        <v>637</v>
      </c>
      <c r="B4" s="146" t="s">
        <v>638</v>
      </c>
      <c r="C4" s="144"/>
      <c r="D4" s="144"/>
      <c r="E4" s="501"/>
      <c r="F4" s="501"/>
      <c r="G4" s="501"/>
      <c r="H4" s="501"/>
      <c r="I4" s="501"/>
      <c r="J4" s="501"/>
      <c r="K4" s="501"/>
      <c r="L4" s="501"/>
    </row>
    <row r="5" spans="1:12" ht="39.950000000000003" customHeight="1">
      <c r="A5" s="122"/>
      <c r="B5" s="146" t="s">
        <v>639</v>
      </c>
      <c r="C5" s="144"/>
      <c r="D5" s="144"/>
      <c r="E5" s="501"/>
      <c r="F5" s="501"/>
      <c r="G5" s="501"/>
      <c r="H5" s="501"/>
      <c r="I5" s="501"/>
      <c r="J5" s="501"/>
      <c r="K5" s="501"/>
      <c r="L5" s="501"/>
    </row>
    <row r="6" spans="1:12" ht="39.950000000000003" customHeight="1">
      <c r="A6" s="122"/>
      <c r="B6" s="146" t="s">
        <v>640</v>
      </c>
      <c r="C6" s="144"/>
      <c r="D6" s="144"/>
      <c r="E6" s="501"/>
      <c r="F6" s="501"/>
      <c r="G6" s="501"/>
      <c r="H6" s="501"/>
      <c r="I6" s="501"/>
      <c r="J6" s="501"/>
      <c r="K6" s="501"/>
      <c r="L6" s="501"/>
    </row>
    <row r="7" spans="1:12" ht="43.5" customHeight="1">
      <c r="A7" s="122"/>
      <c r="B7" s="146" t="s">
        <v>641</v>
      </c>
      <c r="C7" s="144"/>
      <c r="D7" s="144"/>
      <c r="E7" s="501"/>
      <c r="F7" s="501"/>
      <c r="G7" s="501"/>
      <c r="H7" s="501"/>
      <c r="I7" s="501"/>
      <c r="J7" s="501"/>
      <c r="K7" s="501"/>
      <c r="L7" s="501"/>
    </row>
    <row r="8" spans="1:12" ht="45.6" customHeight="1">
      <c r="A8" s="122"/>
      <c r="B8" s="146" t="s">
        <v>642</v>
      </c>
      <c r="C8" s="144"/>
      <c r="D8" s="144"/>
      <c r="E8" s="501"/>
      <c r="F8" s="501"/>
      <c r="G8" s="501"/>
      <c r="H8" s="501"/>
      <c r="I8" s="501"/>
      <c r="J8" s="501"/>
      <c r="K8" s="501"/>
      <c r="L8" s="501"/>
    </row>
    <row r="9" spans="1:12" ht="57.6" customHeight="1">
      <c r="A9" s="122"/>
      <c r="B9" s="147" t="s">
        <v>643</v>
      </c>
      <c r="C9" s="144"/>
      <c r="D9" s="144"/>
      <c r="E9" s="501"/>
      <c r="F9" s="501"/>
      <c r="G9" s="501"/>
      <c r="H9" s="501"/>
      <c r="I9" s="501"/>
      <c r="J9" s="501"/>
      <c r="K9" s="501"/>
      <c r="L9" s="501"/>
    </row>
    <row r="10" spans="1:12" ht="51.95" customHeight="1">
      <c r="A10" s="122"/>
      <c r="B10" s="148" t="s">
        <v>644</v>
      </c>
      <c r="C10" s="149"/>
      <c r="D10" s="149"/>
      <c r="E10" s="501"/>
      <c r="F10" s="501"/>
      <c r="G10" s="501"/>
      <c r="H10" s="501"/>
      <c r="I10" s="501"/>
      <c r="J10" s="501"/>
      <c r="K10" s="501"/>
      <c r="L10" s="501"/>
    </row>
    <row r="11" spans="1:12" ht="39.950000000000003" customHeight="1">
      <c r="A11" s="145" t="s">
        <v>637</v>
      </c>
      <c r="B11" s="146" t="s">
        <v>645</v>
      </c>
      <c r="C11" s="144"/>
      <c r="D11" s="144"/>
      <c r="E11" s="501"/>
      <c r="F11" s="501"/>
      <c r="G11" s="501"/>
      <c r="H11" s="501"/>
      <c r="I11" s="501"/>
      <c r="J11" s="501"/>
      <c r="K11" s="501"/>
      <c r="L11" s="501"/>
    </row>
    <row r="12" spans="1:12" ht="30.75" customHeight="1">
      <c r="A12" s="122"/>
      <c r="B12" s="121"/>
      <c r="C12" s="121"/>
      <c r="D12" s="121" t="s">
        <v>646</v>
      </c>
      <c r="E12" s="501"/>
      <c r="F12" s="501"/>
      <c r="G12" s="501"/>
      <c r="H12" s="501"/>
      <c r="I12" s="501"/>
      <c r="J12" s="501"/>
      <c r="K12" s="501"/>
      <c r="L12" s="501"/>
    </row>
    <row r="13" spans="1:12" ht="30.75" customHeight="1">
      <c r="A13" s="122"/>
      <c r="B13" s="121"/>
      <c r="C13" s="121"/>
      <c r="D13" s="121" t="s">
        <v>647</v>
      </c>
      <c r="E13" s="501"/>
      <c r="F13" s="501"/>
      <c r="G13" s="501"/>
      <c r="H13" s="501"/>
      <c r="I13" s="501"/>
      <c r="J13" s="501"/>
      <c r="K13" s="501"/>
      <c r="L13" s="501"/>
    </row>
    <row r="14" spans="1:12" ht="29.25" customHeight="1">
      <c r="A14" s="122"/>
      <c r="B14" s="121"/>
      <c r="C14" s="121"/>
      <c r="D14" s="121"/>
      <c r="E14" s="501"/>
      <c r="F14" s="501"/>
      <c r="G14" s="501"/>
      <c r="H14" s="501"/>
      <c r="I14" s="501"/>
      <c r="J14" s="501"/>
      <c r="K14" s="501"/>
      <c r="L14" s="501"/>
    </row>
    <row r="15" spans="1:12" ht="30" customHeight="1">
      <c r="B15" s="501"/>
      <c r="C15" s="501"/>
      <c r="D15" s="501"/>
      <c r="E15" s="501"/>
      <c r="F15" s="501"/>
      <c r="G15" s="501"/>
      <c r="H15" s="501"/>
      <c r="I15" s="501"/>
      <c r="J15" s="501"/>
      <c r="K15" s="501"/>
      <c r="L15" s="501"/>
    </row>
    <row r="16" spans="1:12" ht="30" customHeight="1">
      <c r="B16" s="501"/>
      <c r="C16" s="501"/>
      <c r="D16" s="501"/>
      <c r="E16" s="501"/>
      <c r="F16" s="501"/>
      <c r="G16" s="501"/>
      <c r="H16" s="501"/>
      <c r="I16" s="501"/>
      <c r="J16" s="501"/>
      <c r="K16" s="501"/>
      <c r="L16" s="501"/>
    </row>
    <row r="17" spans="2:12" ht="30.75" customHeight="1">
      <c r="B17" s="501"/>
      <c r="C17" s="501"/>
      <c r="D17" s="501"/>
      <c r="E17" s="501"/>
      <c r="F17" s="501"/>
      <c r="G17" s="501"/>
      <c r="H17" s="501"/>
      <c r="I17" s="501"/>
      <c r="J17" s="501"/>
      <c r="K17" s="501"/>
      <c r="L17" s="501"/>
    </row>
    <row r="18" spans="2:12">
      <c r="B18" s="501"/>
      <c r="C18" s="501"/>
      <c r="D18" s="501"/>
      <c r="E18" s="501"/>
      <c r="F18" s="501"/>
      <c r="G18" s="501"/>
      <c r="H18" s="501"/>
      <c r="I18" s="501"/>
      <c r="J18" s="501"/>
      <c r="K18" s="501"/>
      <c r="L18" s="501"/>
    </row>
    <row r="19" spans="2:12">
      <c r="B19" s="501"/>
      <c r="C19" s="501"/>
      <c r="D19" s="501"/>
      <c r="E19" s="501"/>
      <c r="F19" s="501"/>
      <c r="G19" s="501"/>
      <c r="H19" s="501"/>
      <c r="I19" s="501"/>
      <c r="J19" s="501"/>
      <c r="K19" s="501"/>
      <c r="L19" s="501"/>
    </row>
    <row r="20" spans="2:12">
      <c r="B20" s="501"/>
      <c r="C20" s="501"/>
      <c r="D20" s="501"/>
      <c r="E20" s="501"/>
      <c r="F20" s="501"/>
      <c r="G20" s="501"/>
      <c r="H20" s="501"/>
      <c r="I20" s="501"/>
      <c r="J20" s="501"/>
      <c r="K20" s="501"/>
      <c r="L20" s="501"/>
    </row>
    <row r="21" spans="2:12">
      <c r="B21" s="501"/>
      <c r="C21" s="501"/>
      <c r="D21" s="501"/>
      <c r="E21" s="501"/>
      <c r="F21" s="501"/>
      <c r="G21" s="501"/>
      <c r="H21" s="501"/>
      <c r="I21" s="501"/>
      <c r="J21" s="501"/>
      <c r="K21" s="501"/>
      <c r="L21" s="501"/>
    </row>
    <row r="22" spans="2:12">
      <c r="B22" s="501"/>
      <c r="C22" s="501"/>
      <c r="D22" s="501"/>
      <c r="E22" s="501"/>
      <c r="F22" s="501"/>
      <c r="G22" s="501"/>
      <c r="H22" s="501"/>
      <c r="I22" s="501"/>
      <c r="J22" s="501"/>
      <c r="K22" s="501"/>
      <c r="L22" s="501"/>
    </row>
    <row r="23" spans="2:12">
      <c r="B23" s="501"/>
      <c r="C23" s="501"/>
      <c r="D23" s="501"/>
      <c r="E23" s="501"/>
      <c r="F23" s="501"/>
      <c r="G23" s="501"/>
      <c r="H23" s="501"/>
      <c r="I23" s="501"/>
      <c r="J23" s="501"/>
      <c r="K23" s="501"/>
      <c r="L23" s="501"/>
    </row>
    <row r="24" spans="2:12">
      <c r="B24" s="501"/>
      <c r="C24" s="501"/>
      <c r="D24" s="501"/>
      <c r="E24" s="501"/>
      <c r="F24" s="501"/>
      <c r="G24" s="501"/>
      <c r="H24" s="501"/>
      <c r="I24" s="501"/>
      <c r="J24" s="501"/>
      <c r="K24" s="501"/>
      <c r="L24" s="501"/>
    </row>
    <row r="25" spans="2:12">
      <c r="B25" s="501"/>
      <c r="C25" s="501"/>
      <c r="D25" s="501"/>
      <c r="E25" s="501"/>
      <c r="F25" s="501"/>
      <c r="G25" s="501"/>
      <c r="H25" s="501"/>
      <c r="I25" s="501"/>
      <c r="J25" s="501"/>
      <c r="K25" s="501"/>
      <c r="L25" s="501"/>
    </row>
    <row r="26" spans="2:12">
      <c r="B26" s="501"/>
      <c r="C26" s="501"/>
      <c r="D26" s="501"/>
      <c r="E26" s="501"/>
      <c r="F26" s="501"/>
      <c r="G26" s="501"/>
      <c r="H26" s="501"/>
      <c r="I26" s="501"/>
      <c r="J26" s="501"/>
      <c r="K26" s="501"/>
      <c r="L26" s="501"/>
    </row>
    <row r="27" spans="2:12">
      <c r="B27" s="501"/>
      <c r="C27" s="501"/>
      <c r="D27" s="501"/>
      <c r="E27" s="501"/>
      <c r="F27" s="501"/>
      <c r="G27" s="501"/>
      <c r="H27" s="501"/>
      <c r="I27" s="501"/>
      <c r="J27" s="501"/>
      <c r="K27" s="501"/>
      <c r="L27" s="501"/>
    </row>
    <row r="28" spans="2:12">
      <c r="B28" s="501"/>
      <c r="C28" s="501"/>
      <c r="D28" s="501"/>
      <c r="E28" s="501"/>
      <c r="F28" s="501"/>
      <c r="G28" s="501"/>
      <c r="H28" s="501"/>
      <c r="I28" s="501"/>
      <c r="J28" s="501"/>
      <c r="K28" s="501"/>
      <c r="L28" s="501"/>
    </row>
    <row r="29" spans="2:12">
      <c r="B29" s="501"/>
      <c r="C29" s="501"/>
      <c r="D29" s="501"/>
      <c r="E29" s="501"/>
      <c r="F29" s="501"/>
      <c r="G29" s="501"/>
      <c r="H29" s="501"/>
      <c r="I29" s="501"/>
      <c r="J29" s="501"/>
      <c r="K29" s="501"/>
      <c r="L29" s="501"/>
    </row>
    <row r="30" spans="2:12">
      <c r="B30" s="501"/>
      <c r="C30" s="501"/>
      <c r="D30" s="501"/>
      <c r="E30" s="501"/>
      <c r="F30" s="501"/>
      <c r="G30" s="501"/>
      <c r="H30" s="501"/>
      <c r="I30" s="501"/>
      <c r="J30" s="501"/>
      <c r="K30" s="501"/>
      <c r="L30" s="501"/>
    </row>
    <row r="31" spans="2:12">
      <c r="B31" s="501"/>
      <c r="C31" s="501"/>
      <c r="D31" s="501"/>
      <c r="E31" s="501"/>
      <c r="F31" s="501"/>
      <c r="G31" s="501"/>
      <c r="H31" s="501"/>
      <c r="I31" s="501"/>
      <c r="J31" s="501"/>
      <c r="K31" s="501"/>
      <c r="L31" s="501"/>
    </row>
    <row r="32" spans="2:12">
      <c r="B32" s="501"/>
      <c r="C32" s="501"/>
      <c r="D32" s="501"/>
      <c r="E32" s="501"/>
      <c r="F32" s="501"/>
      <c r="G32" s="501"/>
      <c r="H32" s="501"/>
      <c r="I32" s="501"/>
      <c r="J32" s="501"/>
      <c r="K32" s="501"/>
      <c r="L32" s="501"/>
    </row>
    <row r="33" spans="2:12">
      <c r="B33" s="501"/>
      <c r="C33" s="501"/>
      <c r="D33" s="501"/>
      <c r="E33" s="501"/>
      <c r="F33" s="501"/>
      <c r="G33" s="501"/>
      <c r="H33" s="501"/>
      <c r="I33" s="501"/>
      <c r="J33" s="501"/>
      <c r="K33" s="501"/>
      <c r="L33" s="501"/>
    </row>
    <row r="34" spans="2:12">
      <c r="B34" s="501"/>
      <c r="C34" s="501"/>
      <c r="D34" s="501"/>
      <c r="E34" s="501"/>
      <c r="F34" s="501"/>
      <c r="G34" s="501"/>
      <c r="H34" s="501"/>
      <c r="I34" s="501"/>
      <c r="J34" s="501"/>
      <c r="K34" s="501"/>
      <c r="L34" s="501"/>
    </row>
    <row r="35" spans="2:12">
      <c r="B35" s="501"/>
      <c r="C35" s="501"/>
      <c r="D35" s="501"/>
      <c r="E35" s="501"/>
      <c r="F35" s="501"/>
      <c r="G35" s="501"/>
      <c r="H35" s="501"/>
      <c r="I35" s="501"/>
      <c r="J35" s="501"/>
      <c r="K35" s="501"/>
      <c r="L35" s="501"/>
    </row>
    <row r="36" spans="2:12">
      <c r="B36" s="501"/>
      <c r="C36" s="501"/>
      <c r="D36" s="501"/>
      <c r="E36" s="501"/>
      <c r="F36" s="501"/>
      <c r="G36" s="501"/>
      <c r="H36" s="501"/>
      <c r="I36" s="501"/>
      <c r="J36" s="501"/>
      <c r="K36" s="501"/>
      <c r="L36" s="501"/>
    </row>
    <row r="37" spans="2:12">
      <c r="B37" s="501"/>
      <c r="C37" s="501"/>
      <c r="D37" s="501"/>
      <c r="E37" s="501"/>
      <c r="F37" s="501"/>
      <c r="G37" s="501"/>
      <c r="H37" s="501"/>
      <c r="I37" s="501"/>
      <c r="J37" s="501"/>
      <c r="K37" s="501"/>
      <c r="L37" s="501"/>
    </row>
    <row r="38" spans="2:12">
      <c r="B38" s="501"/>
      <c r="C38" s="501"/>
      <c r="D38" s="501"/>
      <c r="E38" s="501"/>
      <c r="F38" s="501"/>
      <c r="G38" s="501"/>
      <c r="H38" s="501"/>
      <c r="I38" s="501"/>
      <c r="J38" s="501"/>
      <c r="K38" s="501"/>
      <c r="L38" s="501"/>
    </row>
    <row r="39" spans="2:12">
      <c r="B39" s="501"/>
      <c r="C39" s="501"/>
      <c r="D39" s="501"/>
      <c r="E39" s="501"/>
      <c r="F39" s="501"/>
      <c r="G39" s="501"/>
      <c r="H39" s="501"/>
      <c r="I39" s="501"/>
      <c r="J39" s="501"/>
      <c r="K39" s="501"/>
      <c r="L39" s="501"/>
    </row>
    <row r="40" spans="2:12">
      <c r="B40" s="501"/>
      <c r="C40" s="501"/>
      <c r="D40" s="501"/>
      <c r="E40" s="501"/>
      <c r="F40" s="501"/>
      <c r="G40" s="501"/>
      <c r="H40" s="501"/>
      <c r="I40" s="501"/>
      <c r="J40" s="501"/>
      <c r="K40" s="501"/>
      <c r="L40" s="501"/>
    </row>
    <row r="41" spans="2:12">
      <c r="B41" s="501"/>
      <c r="C41" s="501"/>
      <c r="D41" s="501"/>
      <c r="E41" s="501"/>
      <c r="F41" s="501"/>
      <c r="G41" s="501"/>
      <c r="H41" s="501"/>
      <c r="I41" s="501"/>
      <c r="J41" s="501"/>
      <c r="K41" s="501"/>
      <c r="L41" s="501"/>
    </row>
    <row r="42" spans="2:12">
      <c r="B42" s="501"/>
      <c r="C42" s="501"/>
      <c r="D42" s="501"/>
      <c r="E42" s="501"/>
      <c r="F42" s="501"/>
      <c r="G42" s="501"/>
      <c r="H42" s="501"/>
      <c r="I42" s="501"/>
      <c r="J42" s="501"/>
      <c r="K42" s="501"/>
      <c r="L42" s="501"/>
    </row>
    <row r="43" spans="2:12">
      <c r="B43" s="501"/>
      <c r="C43" s="501"/>
      <c r="D43" s="501"/>
      <c r="E43" s="501"/>
      <c r="F43" s="501"/>
      <c r="G43" s="501"/>
      <c r="H43" s="501"/>
      <c r="I43" s="501"/>
      <c r="J43" s="501"/>
      <c r="K43" s="501"/>
      <c r="L43" s="501"/>
    </row>
    <row r="44" spans="2:12">
      <c r="B44" s="501"/>
      <c r="C44" s="501"/>
      <c r="D44" s="501"/>
      <c r="E44" s="501"/>
      <c r="F44" s="501"/>
      <c r="G44" s="501"/>
      <c r="H44" s="501"/>
      <c r="I44" s="501"/>
      <c r="J44" s="501"/>
      <c r="K44" s="501"/>
      <c r="L44" s="501"/>
    </row>
    <row r="45" spans="2:12">
      <c r="B45" s="501"/>
      <c r="C45" s="501"/>
      <c r="D45" s="501"/>
      <c r="E45" s="501"/>
      <c r="F45" s="501"/>
      <c r="G45" s="501"/>
      <c r="H45" s="501"/>
      <c r="I45" s="501"/>
      <c r="J45" s="501"/>
      <c r="K45" s="501"/>
      <c r="L45" s="501"/>
    </row>
    <row r="46" spans="2:12">
      <c r="B46" s="501"/>
      <c r="C46" s="501"/>
      <c r="D46" s="501"/>
      <c r="E46" s="501"/>
      <c r="F46" s="501"/>
      <c r="G46" s="501"/>
      <c r="H46" s="501"/>
      <c r="I46" s="501"/>
      <c r="J46" s="501"/>
      <c r="K46" s="501"/>
      <c r="L46" s="501"/>
    </row>
    <row r="47" spans="2:12">
      <c r="B47" s="501"/>
      <c r="C47" s="501"/>
      <c r="D47" s="501"/>
      <c r="E47" s="501"/>
      <c r="F47" s="501"/>
      <c r="G47" s="501"/>
      <c r="H47" s="501"/>
      <c r="I47" s="501"/>
      <c r="J47" s="501"/>
      <c r="K47" s="501"/>
      <c r="L47" s="501"/>
    </row>
    <row r="48" spans="2:12">
      <c r="B48" s="501"/>
      <c r="C48" s="501"/>
      <c r="D48" s="501"/>
      <c r="E48" s="501"/>
      <c r="F48" s="501"/>
      <c r="G48" s="501"/>
      <c r="H48" s="501"/>
      <c r="I48" s="501"/>
      <c r="J48" s="501"/>
      <c r="K48" s="501"/>
      <c r="L48" s="501"/>
    </row>
    <row r="49" spans="2:12">
      <c r="B49" s="501"/>
      <c r="C49" s="501"/>
      <c r="D49" s="501"/>
      <c r="E49" s="501"/>
      <c r="F49" s="501"/>
      <c r="G49" s="501"/>
      <c r="H49" s="501"/>
      <c r="I49" s="501"/>
      <c r="J49" s="501"/>
      <c r="K49" s="501"/>
      <c r="L49" s="501"/>
    </row>
    <row r="50" spans="2:12">
      <c r="B50" s="501"/>
      <c r="C50" s="501"/>
      <c r="D50" s="501"/>
      <c r="E50" s="501"/>
      <c r="F50" s="501"/>
      <c r="G50" s="501"/>
      <c r="H50" s="501"/>
      <c r="I50" s="501"/>
      <c r="J50" s="501"/>
      <c r="K50" s="501"/>
      <c r="L50" s="501"/>
    </row>
    <row r="51" spans="2:12">
      <c r="B51" s="501"/>
      <c r="C51" s="501"/>
      <c r="D51" s="501"/>
      <c r="E51" s="501"/>
      <c r="F51" s="501"/>
      <c r="G51" s="501"/>
      <c r="H51" s="501"/>
      <c r="I51" s="501"/>
      <c r="J51" s="501"/>
      <c r="K51" s="501"/>
      <c r="L51" s="501"/>
    </row>
    <row r="52" spans="2:12">
      <c r="B52" s="501"/>
      <c r="C52" s="501"/>
      <c r="D52" s="501"/>
      <c r="E52" s="501"/>
      <c r="F52" s="501"/>
      <c r="G52" s="501"/>
      <c r="H52" s="501"/>
      <c r="I52" s="501"/>
      <c r="J52" s="501"/>
      <c r="K52" s="501"/>
      <c r="L52" s="501"/>
    </row>
    <row r="53" spans="2:12">
      <c r="B53" s="501"/>
      <c r="C53" s="501"/>
      <c r="D53" s="501"/>
      <c r="E53" s="501"/>
      <c r="F53" s="501"/>
      <c r="G53" s="501"/>
      <c r="H53" s="501"/>
      <c r="I53" s="501"/>
      <c r="J53" s="501"/>
      <c r="K53" s="501"/>
      <c r="L53" s="501"/>
    </row>
    <row r="54" spans="2:12">
      <c r="B54" s="501"/>
      <c r="C54" s="501"/>
      <c r="D54" s="501"/>
      <c r="E54" s="501"/>
      <c r="F54" s="501"/>
      <c r="G54" s="501"/>
      <c r="H54" s="501"/>
      <c r="I54" s="501"/>
      <c r="J54" s="501"/>
      <c r="K54" s="501"/>
      <c r="L54" s="501"/>
    </row>
    <row r="55" spans="2:12">
      <c r="B55" s="501"/>
      <c r="C55" s="501"/>
      <c r="D55" s="501"/>
      <c r="E55" s="501"/>
      <c r="F55" s="501"/>
      <c r="G55" s="501"/>
      <c r="H55" s="501"/>
      <c r="I55" s="501"/>
      <c r="J55" s="501"/>
      <c r="K55" s="501"/>
      <c r="L55" s="501"/>
    </row>
    <row r="56" spans="2:12">
      <c r="B56" s="501"/>
      <c r="C56" s="501"/>
      <c r="D56" s="501"/>
      <c r="E56" s="501"/>
      <c r="F56" s="501"/>
      <c r="G56" s="501"/>
      <c r="H56" s="501"/>
      <c r="I56" s="501"/>
      <c r="J56" s="501"/>
      <c r="K56" s="501"/>
      <c r="L56" s="501"/>
    </row>
    <row r="57" spans="2:12">
      <c r="B57" s="501"/>
      <c r="C57" s="501"/>
      <c r="D57" s="501"/>
      <c r="E57" s="501"/>
      <c r="F57" s="501"/>
      <c r="G57" s="501"/>
      <c r="H57" s="501"/>
      <c r="I57" s="501"/>
      <c r="J57" s="501"/>
      <c r="K57" s="501"/>
      <c r="L57" s="501"/>
    </row>
    <row r="58" spans="2:12">
      <c r="B58" s="501"/>
      <c r="C58" s="501"/>
      <c r="D58" s="501"/>
      <c r="E58" s="501"/>
      <c r="F58" s="501"/>
      <c r="G58" s="501"/>
      <c r="H58" s="501"/>
      <c r="I58" s="501"/>
      <c r="J58" s="501"/>
      <c r="K58" s="501"/>
      <c r="L58" s="501"/>
    </row>
    <row r="59" spans="2:12">
      <c r="B59" s="501"/>
      <c r="C59" s="501"/>
      <c r="D59" s="501"/>
      <c r="E59" s="501"/>
      <c r="F59" s="501"/>
      <c r="G59" s="501"/>
      <c r="H59" s="501"/>
      <c r="I59" s="501"/>
      <c r="J59" s="501"/>
      <c r="K59" s="501"/>
      <c r="L59" s="501"/>
    </row>
    <row r="60" spans="2:12">
      <c r="B60" s="501"/>
      <c r="C60" s="501"/>
      <c r="D60" s="501"/>
      <c r="E60" s="501"/>
      <c r="F60" s="501"/>
      <c r="G60" s="501"/>
      <c r="H60" s="501"/>
      <c r="I60" s="501"/>
      <c r="J60" s="501"/>
      <c r="K60" s="501"/>
      <c r="L60" s="501"/>
    </row>
    <row r="61" spans="2:12">
      <c r="B61" s="501"/>
      <c r="C61" s="501"/>
      <c r="D61" s="501"/>
      <c r="E61" s="501"/>
      <c r="F61" s="501"/>
      <c r="G61" s="501"/>
      <c r="H61" s="501"/>
      <c r="I61" s="501"/>
      <c r="J61" s="501"/>
      <c r="K61" s="501"/>
      <c r="L61" s="501"/>
    </row>
    <row r="62" spans="2:12">
      <c r="B62" s="501"/>
      <c r="C62" s="501"/>
      <c r="D62" s="501"/>
      <c r="E62" s="501"/>
      <c r="F62" s="501"/>
      <c r="G62" s="501"/>
      <c r="H62" s="501"/>
      <c r="I62" s="501"/>
      <c r="J62" s="501"/>
      <c r="K62" s="501"/>
      <c r="L62" s="501"/>
    </row>
    <row r="63" spans="2:12">
      <c r="B63" s="501"/>
      <c r="C63" s="501"/>
      <c r="D63" s="501"/>
      <c r="E63" s="501"/>
      <c r="F63" s="501"/>
      <c r="G63" s="501"/>
      <c r="H63" s="501"/>
      <c r="I63" s="501"/>
      <c r="J63" s="501"/>
      <c r="K63" s="501"/>
      <c r="L63" s="501"/>
    </row>
    <row r="64" spans="2:12">
      <c r="B64" s="501"/>
      <c r="C64" s="501"/>
      <c r="D64" s="501"/>
      <c r="E64" s="501"/>
      <c r="F64" s="501"/>
      <c r="G64" s="501"/>
      <c r="H64" s="501"/>
      <c r="I64" s="501"/>
      <c r="J64" s="501"/>
      <c r="K64" s="501"/>
      <c r="L64" s="501"/>
    </row>
    <row r="65" spans="2:12">
      <c r="B65" s="501"/>
      <c r="C65" s="501"/>
      <c r="D65" s="501"/>
      <c r="E65" s="501"/>
      <c r="F65" s="501"/>
      <c r="G65" s="501"/>
      <c r="H65" s="501"/>
      <c r="I65" s="501"/>
      <c r="J65" s="501"/>
      <c r="K65" s="501"/>
      <c r="L65" s="501"/>
    </row>
    <row r="66" spans="2:12">
      <c r="B66" s="501"/>
      <c r="C66" s="501"/>
      <c r="D66" s="501"/>
      <c r="E66" s="501"/>
      <c r="F66" s="501"/>
      <c r="G66" s="501"/>
      <c r="H66" s="501"/>
      <c r="I66" s="501"/>
      <c r="J66" s="501"/>
      <c r="K66" s="501"/>
      <c r="L66" s="501"/>
    </row>
    <row r="67" spans="2:12">
      <c r="B67" s="501"/>
      <c r="C67" s="501"/>
      <c r="D67" s="501"/>
      <c r="E67" s="501"/>
      <c r="F67" s="501"/>
      <c r="G67" s="501"/>
      <c r="H67" s="501"/>
      <c r="I67" s="501"/>
      <c r="J67" s="501"/>
      <c r="K67" s="501"/>
      <c r="L67" s="501"/>
    </row>
    <row r="68" spans="2:12">
      <c r="B68" s="501"/>
      <c r="C68" s="501"/>
      <c r="D68" s="501"/>
      <c r="E68" s="501"/>
      <c r="F68" s="501"/>
      <c r="G68" s="501"/>
      <c r="H68" s="501"/>
      <c r="I68" s="501"/>
      <c r="J68" s="501"/>
      <c r="K68" s="501"/>
      <c r="L68" s="501"/>
    </row>
    <row r="69" spans="2:12">
      <c r="B69" s="501"/>
      <c r="C69" s="501"/>
      <c r="D69" s="501"/>
      <c r="E69" s="501"/>
      <c r="F69" s="501"/>
      <c r="G69" s="501"/>
      <c r="H69" s="501"/>
      <c r="I69" s="501"/>
      <c r="J69" s="501"/>
      <c r="K69" s="501"/>
      <c r="L69" s="501"/>
    </row>
    <row r="70" spans="2:12">
      <c r="B70" s="501"/>
      <c r="C70" s="501"/>
      <c r="D70" s="501"/>
      <c r="E70" s="501"/>
      <c r="F70" s="501"/>
      <c r="G70" s="501"/>
      <c r="H70" s="501"/>
      <c r="I70" s="501"/>
      <c r="J70" s="501"/>
      <c r="K70" s="501"/>
      <c r="L70" s="501"/>
    </row>
    <row r="71" spans="2:12">
      <c r="B71" s="501"/>
      <c r="C71" s="501"/>
      <c r="D71" s="501"/>
      <c r="E71" s="501"/>
      <c r="F71" s="501"/>
      <c r="G71" s="501"/>
      <c r="H71" s="501"/>
      <c r="I71" s="501"/>
      <c r="J71" s="501"/>
      <c r="K71" s="501"/>
      <c r="L71" s="501"/>
    </row>
    <row r="72" spans="2:12">
      <c r="B72" s="501"/>
      <c r="C72" s="501"/>
      <c r="D72" s="501"/>
      <c r="E72" s="501"/>
      <c r="F72" s="501"/>
      <c r="G72" s="501"/>
      <c r="H72" s="501"/>
      <c r="I72" s="501"/>
      <c r="J72" s="501"/>
      <c r="K72" s="501"/>
      <c r="L72" s="501"/>
    </row>
    <row r="73" spans="2:12">
      <c r="B73" s="501"/>
      <c r="C73" s="501"/>
      <c r="D73" s="501"/>
      <c r="E73" s="501"/>
      <c r="F73" s="501"/>
      <c r="G73" s="501"/>
      <c r="H73" s="501"/>
      <c r="I73" s="501"/>
      <c r="J73" s="501"/>
      <c r="K73" s="501"/>
      <c r="L73" s="501"/>
    </row>
    <row r="74" spans="2:12">
      <c r="B74" s="501"/>
      <c r="C74" s="501"/>
      <c r="D74" s="501"/>
      <c r="E74" s="501"/>
      <c r="F74" s="501"/>
      <c r="G74" s="501"/>
      <c r="H74" s="501"/>
      <c r="I74" s="501"/>
      <c r="J74" s="501"/>
      <c r="K74" s="501"/>
      <c r="L74" s="501"/>
    </row>
    <row r="75" spans="2:12">
      <c r="B75" s="501"/>
      <c r="C75" s="501"/>
      <c r="D75" s="501"/>
      <c r="E75" s="501"/>
      <c r="F75" s="501"/>
      <c r="G75" s="501"/>
      <c r="H75" s="501"/>
      <c r="I75" s="501"/>
      <c r="J75" s="501"/>
      <c r="K75" s="501"/>
      <c r="L75" s="501"/>
    </row>
    <row r="76" spans="2:12">
      <c r="B76" s="501"/>
      <c r="C76" s="501"/>
      <c r="D76" s="501"/>
      <c r="E76" s="501"/>
      <c r="F76" s="501"/>
      <c r="G76" s="501"/>
      <c r="H76" s="501"/>
      <c r="I76" s="501"/>
      <c r="J76" s="501"/>
      <c r="K76" s="501"/>
      <c r="L76" s="501"/>
    </row>
    <row r="77" spans="2:12">
      <c r="B77" s="501"/>
      <c r="C77" s="501"/>
      <c r="D77" s="501"/>
      <c r="E77" s="501"/>
      <c r="F77" s="501"/>
      <c r="G77" s="501"/>
      <c r="H77" s="501"/>
      <c r="I77" s="501"/>
      <c r="J77" s="501"/>
      <c r="K77" s="501"/>
      <c r="L77" s="501"/>
    </row>
    <row r="78" spans="2:12">
      <c r="B78" s="501"/>
      <c r="C78" s="501"/>
      <c r="D78" s="501"/>
      <c r="E78" s="501"/>
      <c r="F78" s="501"/>
      <c r="G78" s="501"/>
      <c r="H78" s="501"/>
      <c r="I78" s="501"/>
      <c r="J78" s="501"/>
      <c r="K78" s="501"/>
      <c r="L78" s="501"/>
    </row>
    <row r="79" spans="2:12">
      <c r="B79" s="501"/>
      <c r="C79" s="501"/>
      <c r="D79" s="501"/>
      <c r="E79" s="501"/>
      <c r="F79" s="501"/>
      <c r="G79" s="501"/>
      <c r="H79" s="501"/>
      <c r="I79" s="501"/>
      <c r="J79" s="501"/>
      <c r="K79" s="501"/>
      <c r="L79" s="501"/>
    </row>
    <row r="80" spans="2:12">
      <c r="B80" s="501"/>
      <c r="C80" s="501"/>
      <c r="D80" s="501"/>
      <c r="E80" s="501"/>
      <c r="F80" s="501"/>
      <c r="G80" s="501"/>
      <c r="H80" s="501"/>
      <c r="I80" s="501"/>
      <c r="J80" s="501"/>
      <c r="K80" s="501"/>
      <c r="L80" s="501"/>
    </row>
    <row r="81" spans="2:12">
      <c r="B81" s="501"/>
      <c r="C81" s="501"/>
      <c r="D81" s="501"/>
      <c r="E81" s="501"/>
      <c r="F81" s="501"/>
      <c r="G81" s="501"/>
      <c r="H81" s="501"/>
      <c r="I81" s="501"/>
      <c r="J81" s="501"/>
      <c r="K81" s="501"/>
      <c r="L81" s="501"/>
    </row>
    <row r="82" spans="2:12">
      <c r="B82" s="501"/>
      <c r="C82" s="501"/>
      <c r="D82" s="501"/>
      <c r="E82" s="501"/>
      <c r="F82" s="501"/>
      <c r="G82" s="501"/>
      <c r="H82" s="501"/>
      <c r="I82" s="501"/>
      <c r="J82" s="501"/>
      <c r="K82" s="501"/>
      <c r="L82" s="501"/>
    </row>
    <row r="83" spans="2:12">
      <c r="B83" s="501"/>
      <c r="C83" s="501"/>
      <c r="D83" s="501"/>
      <c r="E83" s="501"/>
      <c r="F83" s="501"/>
      <c r="G83" s="501"/>
      <c r="H83" s="501"/>
      <c r="I83" s="501"/>
      <c r="J83" s="501"/>
      <c r="K83" s="501"/>
      <c r="L83" s="501"/>
    </row>
    <row r="84" spans="2:12">
      <c r="B84" s="501"/>
      <c r="C84" s="501"/>
      <c r="D84" s="501"/>
      <c r="E84" s="501"/>
      <c r="F84" s="501"/>
      <c r="G84" s="501"/>
      <c r="H84" s="501"/>
      <c r="I84" s="501"/>
      <c r="J84" s="501"/>
      <c r="K84" s="501"/>
      <c r="L84" s="501"/>
    </row>
    <row r="85" spans="2:12">
      <c r="B85" s="501"/>
      <c r="C85" s="501"/>
      <c r="D85" s="501"/>
      <c r="E85" s="501"/>
      <c r="F85" s="501"/>
      <c r="G85" s="501"/>
      <c r="H85" s="501"/>
      <c r="I85" s="501"/>
      <c r="J85" s="501"/>
      <c r="K85" s="501"/>
      <c r="L85" s="501"/>
    </row>
    <row r="86" spans="2:12">
      <c r="B86" s="501"/>
      <c r="C86" s="501"/>
      <c r="D86" s="501"/>
      <c r="E86" s="501"/>
      <c r="F86" s="501"/>
      <c r="G86" s="501"/>
      <c r="H86" s="501"/>
      <c r="I86" s="501"/>
      <c r="J86" s="501"/>
      <c r="K86" s="501"/>
      <c r="L86" s="501"/>
    </row>
    <row r="87" spans="2:12">
      <c r="B87" s="501"/>
      <c r="C87" s="501"/>
      <c r="D87" s="501"/>
      <c r="E87" s="501"/>
      <c r="F87" s="501"/>
      <c r="G87" s="501"/>
      <c r="H87" s="501"/>
      <c r="I87" s="501"/>
      <c r="J87" s="501"/>
      <c r="K87" s="501"/>
      <c r="L87" s="501"/>
    </row>
    <row r="88" spans="2:12">
      <c r="B88" s="501"/>
      <c r="C88" s="501"/>
      <c r="D88" s="501"/>
      <c r="E88" s="501"/>
      <c r="F88" s="501"/>
      <c r="G88" s="501"/>
      <c r="H88" s="501"/>
      <c r="I88" s="501"/>
      <c r="J88" s="501"/>
      <c r="K88" s="501"/>
      <c r="L88" s="501"/>
    </row>
    <row r="89" spans="2:12">
      <c r="B89" s="501"/>
      <c r="C89" s="501"/>
      <c r="D89" s="501"/>
      <c r="E89" s="501"/>
      <c r="F89" s="501"/>
      <c r="G89" s="501"/>
      <c r="H89" s="501"/>
      <c r="I89" s="501"/>
      <c r="J89" s="501"/>
      <c r="K89" s="501"/>
      <c r="L89" s="501"/>
    </row>
    <row r="90" spans="2:12">
      <c r="B90" s="501"/>
      <c r="C90" s="501"/>
      <c r="D90" s="501"/>
      <c r="E90" s="501"/>
      <c r="F90" s="501"/>
      <c r="G90" s="501"/>
      <c r="H90" s="501"/>
      <c r="I90" s="501"/>
      <c r="J90" s="501"/>
      <c r="K90" s="501"/>
      <c r="L90" s="501"/>
    </row>
    <row r="91" spans="2:12">
      <c r="B91" s="501"/>
      <c r="C91" s="501"/>
      <c r="D91" s="501"/>
      <c r="E91" s="501"/>
      <c r="F91" s="501"/>
      <c r="G91" s="501"/>
      <c r="H91" s="501"/>
      <c r="I91" s="501"/>
      <c r="J91" s="501"/>
      <c r="K91" s="501"/>
      <c r="L91" s="501"/>
    </row>
    <row r="92" spans="2:12">
      <c r="B92" s="501"/>
      <c r="C92" s="501"/>
      <c r="D92" s="501"/>
      <c r="E92" s="501"/>
      <c r="F92" s="501"/>
      <c r="G92" s="501"/>
      <c r="H92" s="501"/>
      <c r="I92" s="501"/>
      <c r="J92" s="501"/>
      <c r="K92" s="501"/>
      <c r="L92" s="501"/>
    </row>
    <row r="93" spans="2:12">
      <c r="B93" s="501"/>
      <c r="C93" s="501"/>
      <c r="D93" s="501"/>
      <c r="E93" s="501"/>
      <c r="F93" s="501"/>
      <c r="G93" s="501"/>
      <c r="H93" s="501"/>
      <c r="I93" s="501"/>
      <c r="J93" s="501"/>
      <c r="K93" s="501"/>
      <c r="L93" s="501"/>
    </row>
    <row r="94" spans="2:12">
      <c r="B94" s="501"/>
      <c r="C94" s="501"/>
      <c r="D94" s="501"/>
      <c r="E94" s="501"/>
      <c r="F94" s="501"/>
      <c r="G94" s="501"/>
      <c r="H94" s="501"/>
      <c r="I94" s="501"/>
      <c r="J94" s="501"/>
      <c r="K94" s="501"/>
      <c r="L94" s="501"/>
    </row>
  </sheetData>
  <pageMargins left="0.70866141732283472" right="0.70866141732283472" top="0.74803149606299213" bottom="0.74803149606299213" header="0.31496062992125984" footer="0.31496062992125984"/>
  <pageSetup paperSize="9" scale="65" orientation="landscape" horizontalDpi="360" verticalDpi="36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C4B5-69F2-4E74-B481-556BE5D73830}">
  <dimension ref="A1"/>
  <sheetViews>
    <sheetView workbookViewId="0"/>
  </sheetViews>
  <sheetFormatPr defaultColWidth="11.42578125"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01EF7-49E4-474A-95FA-0D3660B9DB87}">
  <sheetPr>
    <pageSetUpPr fitToPage="1"/>
  </sheetPr>
  <dimension ref="A1:R136"/>
  <sheetViews>
    <sheetView workbookViewId="0">
      <pane ySplit="1" topLeftCell="A3" activePane="bottomLeft" state="frozen"/>
      <selection pane="bottomLeft" activeCell="B2" sqref="B2"/>
    </sheetView>
  </sheetViews>
  <sheetFormatPr defaultColWidth="11.42578125" defaultRowHeight="15"/>
  <cols>
    <col min="1" max="1" width="18.5703125" customWidth="1"/>
    <col min="3" max="3" width="11.42578125" customWidth="1"/>
    <col min="5" max="5" width="13.85546875" customWidth="1"/>
    <col min="7" max="7" width="11.42578125" customWidth="1"/>
    <col min="10" max="10" width="11.28515625" bestFit="1" customWidth="1"/>
    <col min="11" max="11" width="9.42578125" bestFit="1" customWidth="1"/>
    <col min="12" max="12" width="10.85546875" bestFit="1" customWidth="1"/>
    <col min="13" max="13" width="10.7109375" bestFit="1" customWidth="1"/>
    <col min="14" max="14" width="13" bestFit="1" customWidth="1"/>
  </cols>
  <sheetData>
    <row r="1" spans="1:18" ht="29.25" customHeight="1">
      <c r="A1" s="63" t="s">
        <v>360</v>
      </c>
      <c r="B1" s="61" t="s">
        <v>648</v>
      </c>
      <c r="C1" s="61" t="s">
        <v>649</v>
      </c>
      <c r="D1" s="61" t="s">
        <v>650</v>
      </c>
      <c r="E1" s="61" t="s">
        <v>651</v>
      </c>
      <c r="F1" s="61" t="s">
        <v>652</v>
      </c>
      <c r="G1" s="61" t="s">
        <v>653</v>
      </c>
      <c r="H1" s="61" t="s">
        <v>654</v>
      </c>
      <c r="I1" s="61" t="s">
        <v>655</v>
      </c>
      <c r="J1" s="61" t="s">
        <v>656</v>
      </c>
      <c r="K1" s="61" t="s">
        <v>657</v>
      </c>
      <c r="L1" s="61" t="s">
        <v>658</v>
      </c>
      <c r="M1" s="61" t="s">
        <v>659</v>
      </c>
      <c r="N1" s="501"/>
      <c r="O1" s="501"/>
      <c r="P1" s="501"/>
      <c r="Q1" s="501"/>
      <c r="R1" s="501"/>
    </row>
    <row r="2" spans="1:18" ht="45" customHeight="1">
      <c r="A2" s="62" t="s">
        <v>660</v>
      </c>
      <c r="B2" s="197" t="s">
        <v>661</v>
      </c>
      <c r="C2" s="197" t="s">
        <v>662</v>
      </c>
      <c r="D2" s="197" t="s">
        <v>663</v>
      </c>
      <c r="E2" s="199" t="s">
        <v>664</v>
      </c>
      <c r="F2" s="197">
        <v>1</v>
      </c>
      <c r="G2" s="197">
        <v>2</v>
      </c>
      <c r="H2" s="197">
        <v>4</v>
      </c>
      <c r="I2" s="197">
        <v>0</v>
      </c>
      <c r="J2" s="188">
        <v>0</v>
      </c>
      <c r="K2" s="188"/>
      <c r="L2" s="188"/>
      <c r="M2" s="188"/>
      <c r="N2" s="195" t="s">
        <v>665</v>
      </c>
    </row>
    <row r="3" spans="1:18" ht="45.75" customHeight="1">
      <c r="A3" s="62" t="s">
        <v>666</v>
      </c>
      <c r="B3" s="196">
        <v>0</v>
      </c>
      <c r="C3" s="196">
        <v>0</v>
      </c>
      <c r="D3" s="196">
        <v>0</v>
      </c>
      <c r="E3" s="196">
        <v>0</v>
      </c>
      <c r="F3" s="196">
        <v>0</v>
      </c>
      <c r="G3" s="197" t="s">
        <v>667</v>
      </c>
      <c r="H3" s="197">
        <v>1</v>
      </c>
      <c r="I3" s="197">
        <v>0</v>
      </c>
      <c r="J3" s="200">
        <v>4</v>
      </c>
      <c r="K3" s="188"/>
      <c r="L3" s="188"/>
      <c r="M3" s="188"/>
      <c r="N3" s="195" t="s">
        <v>668</v>
      </c>
    </row>
    <row r="4" spans="1:18" ht="45.75" customHeight="1">
      <c r="A4" s="62" t="s">
        <v>669</v>
      </c>
      <c r="B4" s="196">
        <v>0</v>
      </c>
      <c r="C4" s="197" t="s">
        <v>670</v>
      </c>
      <c r="D4" s="196">
        <v>0</v>
      </c>
      <c r="E4" s="196">
        <v>0</v>
      </c>
      <c r="F4" s="197" t="s">
        <v>670</v>
      </c>
      <c r="G4" s="197" t="s">
        <v>671</v>
      </c>
      <c r="H4" s="196"/>
      <c r="I4" s="197">
        <v>0</v>
      </c>
      <c r="J4" s="188">
        <v>0</v>
      </c>
      <c r="K4" s="188"/>
      <c r="L4" s="188"/>
      <c r="M4" s="188"/>
      <c r="N4" t="s">
        <v>360</v>
      </c>
    </row>
    <row r="5" spans="1:18" ht="45.75" customHeight="1">
      <c r="A5" s="62" t="s">
        <v>672</v>
      </c>
      <c r="B5" s="196">
        <v>0</v>
      </c>
      <c r="C5" s="196">
        <v>0</v>
      </c>
      <c r="D5" s="196">
        <v>1</v>
      </c>
      <c r="E5" s="196">
        <v>0</v>
      </c>
      <c r="F5" s="197" t="s">
        <v>673</v>
      </c>
      <c r="G5" s="197">
        <v>1</v>
      </c>
      <c r="H5" s="197">
        <v>1</v>
      </c>
      <c r="I5" s="197">
        <v>0</v>
      </c>
      <c r="J5" s="188">
        <v>0</v>
      </c>
      <c r="K5" s="188"/>
      <c r="L5" s="188"/>
      <c r="M5" s="188"/>
    </row>
    <row r="6" spans="1:18" ht="46.5" customHeight="1">
      <c r="A6" s="62" t="s">
        <v>674</v>
      </c>
      <c r="B6" s="197" t="s">
        <v>675</v>
      </c>
      <c r="C6" s="196">
        <v>0</v>
      </c>
      <c r="D6" s="196" t="s">
        <v>676</v>
      </c>
      <c r="E6" s="196" t="s">
        <v>677</v>
      </c>
      <c r="F6" s="197" t="s">
        <v>661</v>
      </c>
      <c r="G6" s="198" t="s">
        <v>678</v>
      </c>
      <c r="H6" s="196"/>
      <c r="I6" s="197">
        <v>0</v>
      </c>
      <c r="J6" s="200">
        <v>1</v>
      </c>
      <c r="K6" s="188"/>
      <c r="L6" s="188"/>
      <c r="M6" s="188"/>
    </row>
    <row r="7" spans="1:18" ht="45.75" customHeight="1">
      <c r="A7" s="64" t="s">
        <v>679</v>
      </c>
      <c r="B7" s="197" t="s">
        <v>680</v>
      </c>
      <c r="C7" s="196">
        <v>0</v>
      </c>
      <c r="D7" s="196" t="s">
        <v>677</v>
      </c>
      <c r="E7" s="196" t="s">
        <v>677</v>
      </c>
      <c r="F7" s="196" t="s">
        <v>677</v>
      </c>
      <c r="G7" s="196" t="s">
        <v>677</v>
      </c>
      <c r="H7" s="197">
        <v>3</v>
      </c>
      <c r="I7" s="197">
        <v>0</v>
      </c>
      <c r="J7" s="188">
        <v>0</v>
      </c>
      <c r="K7" s="188"/>
      <c r="L7" s="188"/>
      <c r="M7" s="188"/>
    </row>
    <row r="8" spans="1:18" ht="44.25" customHeight="1">
      <c r="A8" s="62" t="s">
        <v>681</v>
      </c>
      <c r="B8" s="197" t="s">
        <v>682</v>
      </c>
      <c r="C8" s="196">
        <v>0</v>
      </c>
      <c r="D8" s="196">
        <v>0</v>
      </c>
      <c r="E8" s="196">
        <v>0</v>
      </c>
      <c r="F8" s="196">
        <v>0</v>
      </c>
      <c r="G8" s="196" t="s">
        <v>677</v>
      </c>
      <c r="H8" s="197">
        <v>2</v>
      </c>
      <c r="I8" s="197">
        <v>0</v>
      </c>
      <c r="J8" s="188">
        <v>0</v>
      </c>
      <c r="K8" s="188"/>
      <c r="L8" s="188"/>
      <c r="M8" s="188"/>
    </row>
    <row r="9" spans="1:18" ht="45.75" customHeight="1">
      <c r="A9" s="63" t="s">
        <v>683</v>
      </c>
      <c r="B9" s="196">
        <v>0</v>
      </c>
      <c r="C9" s="196">
        <v>0</v>
      </c>
      <c r="D9" s="196">
        <v>0</v>
      </c>
      <c r="E9" s="196">
        <v>0</v>
      </c>
      <c r="F9" s="197" t="s">
        <v>684</v>
      </c>
      <c r="G9" s="196" t="s">
        <v>677</v>
      </c>
      <c r="H9" s="196"/>
      <c r="I9" s="197">
        <v>0</v>
      </c>
      <c r="J9" s="188">
        <v>0</v>
      </c>
      <c r="K9" s="188"/>
      <c r="L9" s="188"/>
      <c r="M9" s="188"/>
    </row>
    <row r="10" spans="1:18" ht="45.75" customHeight="1">
      <c r="A10" s="65" t="s">
        <v>685</v>
      </c>
      <c r="B10" s="197" t="s">
        <v>686</v>
      </c>
      <c r="C10" s="196">
        <v>0</v>
      </c>
      <c r="D10" s="196">
        <v>0</v>
      </c>
      <c r="E10" s="197" t="s">
        <v>687</v>
      </c>
      <c r="F10" s="197" t="s">
        <v>661</v>
      </c>
      <c r="G10" s="197" t="s">
        <v>684</v>
      </c>
      <c r="H10" s="197">
        <v>1</v>
      </c>
      <c r="I10" s="197">
        <v>0</v>
      </c>
      <c r="J10" s="188">
        <v>0</v>
      </c>
      <c r="K10" s="188"/>
      <c r="L10" s="188"/>
      <c r="M10" s="188"/>
    </row>
    <row r="11" spans="1:18" ht="44.25" customHeight="1">
      <c r="A11" s="62" t="s">
        <v>688</v>
      </c>
      <c r="B11" s="196">
        <v>0</v>
      </c>
      <c r="C11" s="196">
        <v>0</v>
      </c>
      <c r="D11" s="196">
        <v>0</v>
      </c>
      <c r="E11" s="196">
        <v>0</v>
      </c>
      <c r="F11" s="196">
        <v>0</v>
      </c>
      <c r="G11" s="196">
        <v>0</v>
      </c>
      <c r="H11" s="196"/>
      <c r="I11" s="197">
        <v>0</v>
      </c>
      <c r="J11" s="188">
        <v>0</v>
      </c>
      <c r="K11" s="188"/>
      <c r="L11" s="188"/>
      <c r="M11" s="188"/>
    </row>
    <row r="12" spans="1:18" ht="45" customHeight="1">
      <c r="A12" s="62" t="s">
        <v>689</v>
      </c>
      <c r="B12" s="196">
        <v>0</v>
      </c>
      <c r="C12" s="196">
        <v>0</v>
      </c>
      <c r="D12" s="196">
        <v>0</v>
      </c>
      <c r="E12" s="196">
        <v>0</v>
      </c>
      <c r="F12" s="196">
        <v>0</v>
      </c>
      <c r="G12" s="196">
        <v>0</v>
      </c>
      <c r="H12" s="197">
        <v>1</v>
      </c>
      <c r="I12" s="197">
        <v>1</v>
      </c>
      <c r="J12" s="189">
        <v>0</v>
      </c>
      <c r="K12" s="189"/>
      <c r="L12" s="189"/>
      <c r="M12" s="189"/>
    </row>
    <row r="13" spans="1:18" ht="45" customHeight="1">
      <c r="A13" s="62" t="s">
        <v>690</v>
      </c>
      <c r="B13" s="196">
        <v>0</v>
      </c>
      <c r="C13" s="197" t="s">
        <v>691</v>
      </c>
      <c r="D13" s="196">
        <v>0</v>
      </c>
      <c r="E13" s="196">
        <v>0</v>
      </c>
      <c r="F13" s="197" t="s">
        <v>692</v>
      </c>
      <c r="G13" s="196">
        <v>0</v>
      </c>
      <c r="H13" s="198" t="s">
        <v>693</v>
      </c>
      <c r="I13" s="197">
        <v>0</v>
      </c>
      <c r="J13" s="188">
        <v>0</v>
      </c>
      <c r="K13" s="188"/>
      <c r="L13" s="188"/>
      <c r="M13" s="188"/>
    </row>
    <row r="14" spans="1:18" ht="45" customHeight="1">
      <c r="A14" s="62" t="s">
        <v>694</v>
      </c>
      <c r="B14" s="197">
        <v>1</v>
      </c>
      <c r="C14" s="196">
        <v>0</v>
      </c>
      <c r="D14" s="196">
        <v>0</v>
      </c>
      <c r="E14" s="196">
        <v>0</v>
      </c>
      <c r="F14" s="196">
        <v>0</v>
      </c>
      <c r="G14" s="196">
        <v>0</v>
      </c>
      <c r="H14" s="197">
        <v>1</v>
      </c>
      <c r="I14" s="197">
        <v>0</v>
      </c>
      <c r="J14" s="188">
        <v>0</v>
      </c>
      <c r="K14" s="188"/>
      <c r="L14" s="188"/>
      <c r="M14" s="188"/>
    </row>
    <row r="15" spans="1:18" ht="45.75" customHeight="1">
      <c r="A15" s="62" t="s">
        <v>695</v>
      </c>
      <c r="B15" s="196" t="s">
        <v>696</v>
      </c>
      <c r="C15" s="196" t="s">
        <v>696</v>
      </c>
      <c r="D15" s="196" t="s">
        <v>696</v>
      </c>
      <c r="E15" s="196" t="s">
        <v>696</v>
      </c>
      <c r="F15" s="196" t="s">
        <v>696</v>
      </c>
      <c r="G15" s="196" t="s">
        <v>696</v>
      </c>
      <c r="H15" s="196"/>
      <c r="I15" s="197">
        <v>0</v>
      </c>
      <c r="J15" s="189">
        <v>0</v>
      </c>
      <c r="K15" s="189"/>
      <c r="L15" s="189"/>
      <c r="M15" s="189"/>
    </row>
    <row r="16" spans="1:18" ht="45.75" customHeight="1">
      <c r="A16" s="63" t="s">
        <v>697</v>
      </c>
      <c r="B16" s="197" t="s">
        <v>661</v>
      </c>
      <c r="C16" s="197" t="s">
        <v>661</v>
      </c>
      <c r="D16" s="196">
        <v>0</v>
      </c>
      <c r="E16" s="196">
        <v>0</v>
      </c>
      <c r="F16" s="198" t="s">
        <v>675</v>
      </c>
      <c r="G16" s="198" t="s">
        <v>698</v>
      </c>
      <c r="H16" s="196"/>
      <c r="I16" s="197">
        <v>0</v>
      </c>
      <c r="J16" s="188">
        <v>0</v>
      </c>
      <c r="K16" s="188"/>
      <c r="L16" s="188"/>
      <c r="M16" s="188"/>
    </row>
    <row r="17" spans="1:13" ht="45" customHeight="1">
      <c r="A17" s="62" t="s">
        <v>699</v>
      </c>
      <c r="B17" s="197">
        <v>1</v>
      </c>
      <c r="C17" s="196">
        <v>0</v>
      </c>
      <c r="D17" s="196">
        <v>0</v>
      </c>
      <c r="E17" s="196">
        <v>0</v>
      </c>
      <c r="F17" s="196">
        <v>0</v>
      </c>
      <c r="G17" s="196">
        <v>0</v>
      </c>
      <c r="H17" s="196"/>
      <c r="I17" s="197">
        <v>0</v>
      </c>
      <c r="J17" s="188">
        <v>0</v>
      </c>
      <c r="K17" s="188"/>
      <c r="L17" s="188"/>
      <c r="M17" s="188"/>
    </row>
    <row r="18" spans="1:13" ht="45.75" customHeight="1">
      <c r="A18" s="63" t="s">
        <v>700</v>
      </c>
      <c r="B18" s="196">
        <v>0</v>
      </c>
      <c r="C18" s="196">
        <v>0</v>
      </c>
      <c r="D18" s="196">
        <v>0</v>
      </c>
      <c r="E18" s="196">
        <v>0</v>
      </c>
      <c r="F18" s="197">
        <v>1</v>
      </c>
      <c r="G18" s="196">
        <v>0</v>
      </c>
      <c r="H18" s="196"/>
      <c r="I18" s="197">
        <v>0</v>
      </c>
      <c r="J18" s="188">
        <v>0</v>
      </c>
      <c r="K18" s="188"/>
      <c r="L18" s="188"/>
      <c r="M18" s="188"/>
    </row>
    <row r="19" spans="1:13" ht="45" customHeight="1">
      <c r="A19" s="62" t="s">
        <v>701</v>
      </c>
      <c r="B19" s="196">
        <v>0</v>
      </c>
      <c r="C19" s="196">
        <v>0</v>
      </c>
      <c r="D19" s="197" t="s">
        <v>686</v>
      </c>
      <c r="E19" s="196">
        <v>0</v>
      </c>
      <c r="F19" s="196">
        <v>0</v>
      </c>
      <c r="G19" s="197" t="s">
        <v>686</v>
      </c>
      <c r="H19" s="197" t="s">
        <v>686</v>
      </c>
      <c r="I19" s="197">
        <v>0</v>
      </c>
      <c r="J19" s="188">
        <v>0</v>
      </c>
      <c r="K19" s="188"/>
      <c r="L19" s="188"/>
      <c r="M19" s="188"/>
    </row>
    <row r="20" spans="1:13" ht="45.75" customHeight="1">
      <c r="A20" s="62" t="s">
        <v>251</v>
      </c>
      <c r="B20" s="196" t="s">
        <v>677</v>
      </c>
      <c r="C20" s="196" t="s">
        <v>677</v>
      </c>
      <c r="D20" s="196" t="s">
        <v>677</v>
      </c>
      <c r="E20" s="196" t="s">
        <v>677</v>
      </c>
      <c r="F20" s="196" t="s">
        <v>677</v>
      </c>
      <c r="G20" s="196" t="s">
        <v>677</v>
      </c>
      <c r="H20" s="196"/>
      <c r="I20" s="197">
        <v>0</v>
      </c>
      <c r="J20" s="188">
        <v>0</v>
      </c>
      <c r="K20" s="188"/>
      <c r="L20" s="188"/>
      <c r="M20" s="188"/>
    </row>
    <row r="21" spans="1:13" ht="45" customHeight="1">
      <c r="A21" s="501"/>
    </row>
    <row r="22" spans="1:13" ht="45" customHeight="1">
      <c r="A22" s="501"/>
    </row>
    <row r="23" spans="1:13">
      <c r="A23" s="501"/>
    </row>
    <row r="136" spans="8:8">
      <c r="H136" t="s">
        <v>360</v>
      </c>
    </row>
  </sheetData>
  <pageMargins left="0.7" right="0.7" top="0.75" bottom="0.75" header="0.3" footer="0.3"/>
  <pageSetup paperSize="9" scale="17" orientation="landscape" horizontalDpi="360" verticalDpi="36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CE2B8-850D-4F66-A5FE-885778626D08}">
  <dimension ref="A1:H8"/>
  <sheetViews>
    <sheetView zoomScaleNormal="100" workbookViewId="0">
      <selection activeCell="G10" sqref="G10"/>
    </sheetView>
  </sheetViews>
  <sheetFormatPr defaultColWidth="11.42578125" defaultRowHeight="15"/>
  <cols>
    <col min="1" max="1" width="25.7109375" style="37" customWidth="1"/>
    <col min="2" max="2" width="19.7109375" style="37" customWidth="1"/>
    <col min="3" max="3" width="19.5703125" style="37" customWidth="1"/>
    <col min="4" max="4" width="19.85546875" style="37" customWidth="1"/>
    <col min="5" max="5" width="18.28515625" style="37" customWidth="1"/>
    <col min="6" max="6" width="22" style="37" customWidth="1"/>
    <col min="7" max="7" width="22.5703125" style="37" customWidth="1"/>
    <col min="8" max="8" width="16.7109375" style="37" customWidth="1"/>
    <col min="9" max="16384" width="11.42578125" style="37"/>
  </cols>
  <sheetData>
    <row r="1" spans="1:8" ht="27.75" thickTop="1" thickBot="1">
      <c r="A1" s="554" t="s">
        <v>702</v>
      </c>
      <c r="B1" s="555"/>
      <c r="C1" s="555"/>
      <c r="D1" s="555"/>
      <c r="E1" s="555"/>
      <c r="F1" s="555"/>
      <c r="G1" s="556"/>
      <c r="H1" s="67"/>
    </row>
    <row r="2" spans="1:8" ht="48" thickTop="1">
      <c r="A2" s="38" t="s">
        <v>703</v>
      </c>
      <c r="B2" s="39" t="s">
        <v>704</v>
      </c>
      <c r="C2" s="39" t="s">
        <v>705</v>
      </c>
      <c r="D2" s="39" t="s">
        <v>706</v>
      </c>
      <c r="E2" s="39" t="s">
        <v>707</v>
      </c>
      <c r="F2" s="39" t="s">
        <v>708</v>
      </c>
      <c r="G2" s="39" t="s">
        <v>709</v>
      </c>
      <c r="H2" s="67"/>
    </row>
    <row r="3" spans="1:8" ht="19.5">
      <c r="A3" s="45" t="s">
        <v>339</v>
      </c>
      <c r="B3" s="41">
        <v>45867</v>
      </c>
      <c r="C3" s="46" t="s">
        <v>710</v>
      </c>
      <c r="D3" s="41" t="s">
        <v>711</v>
      </c>
      <c r="E3" s="40" t="s">
        <v>712</v>
      </c>
      <c r="F3" s="47"/>
      <c r="G3" s="40" t="s">
        <v>713</v>
      </c>
      <c r="H3" s="68" t="s">
        <v>714</v>
      </c>
    </row>
    <row r="4" spans="1:8" ht="19.5">
      <c r="A4" s="45" t="s">
        <v>323</v>
      </c>
      <c r="B4" s="41">
        <v>45887</v>
      </c>
      <c r="C4" s="46" t="s">
        <v>710</v>
      </c>
      <c r="D4" s="41" t="s">
        <v>715</v>
      </c>
      <c r="E4" s="66" t="s">
        <v>716</v>
      </c>
      <c r="F4" s="66" t="s">
        <v>716</v>
      </c>
      <c r="G4" s="40" t="s">
        <v>717</v>
      </c>
      <c r="H4" s="68" t="s">
        <v>714</v>
      </c>
    </row>
    <row r="5" spans="1:8" ht="19.5">
      <c r="A5" s="45" t="s">
        <v>451</v>
      </c>
      <c r="B5" s="41">
        <v>45880</v>
      </c>
      <c r="C5" s="46" t="s">
        <v>710</v>
      </c>
      <c r="D5" s="41"/>
      <c r="E5" s="41">
        <v>45883</v>
      </c>
      <c r="F5" s="40"/>
      <c r="G5" s="40" t="s">
        <v>718</v>
      </c>
      <c r="H5" s="68" t="s">
        <v>714</v>
      </c>
    </row>
    <row r="7" spans="1:8">
      <c r="A7" s="67"/>
      <c r="B7" s="67"/>
      <c r="C7" s="67"/>
      <c r="D7" s="67"/>
      <c r="E7" s="67"/>
      <c r="F7" s="67"/>
      <c r="G7" s="67"/>
      <c r="H7" s="67"/>
    </row>
    <row r="8" spans="1:8">
      <c r="A8" s="67"/>
      <c r="B8" s="67"/>
      <c r="C8" s="67" t="s">
        <v>719</v>
      </c>
      <c r="D8" s="67"/>
      <c r="E8" s="67"/>
      <c r="F8" s="67"/>
      <c r="G8" s="67"/>
      <c r="H8" s="67"/>
    </row>
  </sheetData>
  <mergeCells count="1">
    <mergeCell ref="A1:G1"/>
  </mergeCells>
  <phoneticPr fontId="39" type="noConversion"/>
  <pageMargins left="0.25" right="0.25" top="0.75" bottom="0.75" header="0.3" footer="0.3"/>
  <pageSetup orientation="landscape" horizontalDpi="360" verticalDpi="36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5949-0E28-4423-97FF-4D8048D6EA3E}">
  <dimension ref="A1:H32"/>
  <sheetViews>
    <sheetView workbookViewId="0">
      <selection activeCell="D31" sqref="D31"/>
    </sheetView>
  </sheetViews>
  <sheetFormatPr defaultColWidth="11.42578125" defaultRowHeight="15"/>
  <cols>
    <col min="1" max="1" width="34.140625" bestFit="1" customWidth="1"/>
    <col min="2" max="2" width="24.7109375" customWidth="1"/>
    <col min="3" max="3" width="26" customWidth="1"/>
    <col min="4" max="5" width="31.7109375" customWidth="1"/>
    <col min="6" max="6" width="22.7109375" customWidth="1"/>
    <col min="7" max="7" width="18" bestFit="1" customWidth="1"/>
    <col min="8" max="8" width="13.85546875" bestFit="1" customWidth="1"/>
  </cols>
  <sheetData>
    <row r="1" spans="1:8" ht="32.25">
      <c r="A1" s="83" t="s">
        <v>720</v>
      </c>
    </row>
    <row r="2" spans="1:8">
      <c r="A2" s="81" t="s">
        <v>721</v>
      </c>
      <c r="B2" s="81" t="s">
        <v>722</v>
      </c>
      <c r="C2" s="81" t="s">
        <v>723</v>
      </c>
      <c r="D2" s="81" t="s">
        <v>724</v>
      </c>
      <c r="E2" s="82" t="s">
        <v>725</v>
      </c>
      <c r="F2" s="82" t="s">
        <v>726</v>
      </c>
      <c r="G2" s="81" t="s">
        <v>727</v>
      </c>
      <c r="H2" s="81" t="s">
        <v>728</v>
      </c>
    </row>
    <row r="3" spans="1:8">
      <c r="A3" s="44">
        <v>2023</v>
      </c>
      <c r="B3" s="54"/>
      <c r="C3" s="54"/>
      <c r="D3" s="54"/>
      <c r="E3" s="54"/>
      <c r="F3" s="54"/>
      <c r="G3" s="54"/>
      <c r="H3" s="35"/>
    </row>
    <row r="4" spans="1:8">
      <c r="A4" s="54"/>
      <c r="B4" s="54"/>
      <c r="C4" s="54"/>
      <c r="D4" s="54"/>
      <c r="E4" s="54"/>
      <c r="F4" s="54"/>
      <c r="G4" s="54"/>
      <c r="H4" s="35"/>
    </row>
    <row r="5" spans="1:8">
      <c r="A5" s="54"/>
      <c r="B5" s="54"/>
      <c r="C5" s="54"/>
      <c r="D5" s="54"/>
      <c r="E5" s="54"/>
      <c r="F5" s="54"/>
      <c r="G5" s="54"/>
      <c r="H5" s="35"/>
    </row>
    <row r="6" spans="1:8">
      <c r="A6" s="54"/>
      <c r="B6" s="54"/>
      <c r="C6" s="54"/>
      <c r="D6" s="54"/>
      <c r="E6" s="54"/>
      <c r="F6" s="54"/>
      <c r="G6" s="54"/>
      <c r="H6" s="35"/>
    </row>
    <row r="7" spans="1:8">
      <c r="A7" s="54"/>
      <c r="B7" s="54"/>
      <c r="C7" s="54"/>
      <c r="D7" s="54"/>
      <c r="E7" s="54"/>
      <c r="F7" s="54"/>
      <c r="G7" s="54"/>
      <c r="H7" s="35"/>
    </row>
    <row r="8" spans="1:8">
      <c r="A8" s="54"/>
      <c r="B8" s="54"/>
      <c r="C8" s="54"/>
      <c r="D8" s="54"/>
      <c r="E8" s="54"/>
      <c r="F8" s="54"/>
      <c r="G8" s="54"/>
      <c r="H8" s="35"/>
    </row>
    <row r="9" spans="1:8">
      <c r="A9" s="54"/>
      <c r="B9" s="54"/>
      <c r="C9" s="54"/>
      <c r="D9" s="54"/>
      <c r="E9" s="54"/>
      <c r="F9" s="54"/>
      <c r="G9" s="54"/>
      <c r="H9" s="35"/>
    </row>
    <row r="10" spans="1:8">
      <c r="A10" s="54"/>
      <c r="B10" s="54"/>
      <c r="C10" s="54"/>
      <c r="D10" s="54"/>
      <c r="E10" s="54"/>
      <c r="F10" s="54"/>
      <c r="G10" s="54"/>
      <c r="H10" s="35"/>
    </row>
    <row r="11" spans="1:8">
      <c r="A11" s="54"/>
      <c r="B11" s="54"/>
      <c r="C11" s="54"/>
      <c r="D11" s="54"/>
      <c r="E11" s="54"/>
      <c r="F11" s="54"/>
      <c r="G11" s="54"/>
      <c r="H11" s="35"/>
    </row>
    <row r="12" spans="1:8">
      <c r="A12" s="54"/>
      <c r="B12" s="54"/>
      <c r="C12" s="54"/>
      <c r="D12" s="54"/>
      <c r="E12" s="54"/>
      <c r="F12" s="54"/>
      <c r="G12" s="54"/>
      <c r="H12" s="35"/>
    </row>
    <row r="13" spans="1:8">
      <c r="A13" s="54"/>
      <c r="B13" s="54"/>
      <c r="C13" s="54"/>
      <c r="D13" s="54"/>
      <c r="E13" s="54"/>
      <c r="F13" s="54"/>
      <c r="G13" s="54"/>
      <c r="H13" s="35"/>
    </row>
    <row r="14" spans="1:8">
      <c r="A14" s="54"/>
      <c r="B14" s="54"/>
      <c r="C14" s="54"/>
      <c r="D14" s="54"/>
      <c r="E14" s="54"/>
      <c r="F14" s="54"/>
      <c r="G14" s="54"/>
      <c r="H14" s="35"/>
    </row>
    <row r="15" spans="1:8">
      <c r="A15" s="54"/>
      <c r="B15" s="54"/>
      <c r="C15" s="54"/>
      <c r="D15" s="54"/>
      <c r="E15" s="54"/>
      <c r="F15" s="54"/>
      <c r="G15" s="54"/>
      <c r="H15" s="35"/>
    </row>
    <row r="16" spans="1:8">
      <c r="A16" s="54"/>
      <c r="B16" s="54"/>
      <c r="C16" s="54"/>
      <c r="D16" s="54"/>
      <c r="E16" s="54"/>
      <c r="F16" s="54"/>
      <c r="G16" s="54"/>
      <c r="H16" s="35"/>
    </row>
    <row r="17" spans="1:8">
      <c r="A17" s="54"/>
      <c r="B17" s="54"/>
      <c r="C17" s="54"/>
      <c r="D17" s="54"/>
      <c r="E17" s="54"/>
      <c r="F17" s="54"/>
      <c r="G17" s="54"/>
      <c r="H17" s="35"/>
    </row>
    <row r="18" spans="1:8">
      <c r="A18" s="54"/>
      <c r="B18" s="54"/>
      <c r="C18" s="54"/>
      <c r="D18" s="54"/>
      <c r="E18" s="54"/>
      <c r="F18" s="54"/>
      <c r="G18" s="54"/>
      <c r="H18" s="35"/>
    </row>
    <row r="19" spans="1:8">
      <c r="A19" s="54"/>
      <c r="B19" s="54"/>
      <c r="C19" s="54"/>
      <c r="D19" s="54"/>
      <c r="E19" s="54"/>
      <c r="F19" s="54"/>
      <c r="G19" s="54"/>
      <c r="H19" s="35"/>
    </row>
    <row r="20" spans="1:8">
      <c r="A20" s="54"/>
      <c r="B20" s="54"/>
      <c r="C20" s="54"/>
      <c r="D20" s="54"/>
      <c r="E20" s="54"/>
      <c r="F20" s="54"/>
      <c r="G20" s="54"/>
      <c r="H20" s="35"/>
    </row>
    <row r="21" spans="1:8">
      <c r="A21" s="54"/>
      <c r="B21" s="54"/>
      <c r="C21" s="54"/>
      <c r="D21" s="54"/>
      <c r="E21" s="54"/>
      <c r="F21" s="54"/>
      <c r="G21" s="54"/>
      <c r="H21" s="35"/>
    </row>
    <row r="22" spans="1:8">
      <c r="A22" s="54"/>
      <c r="B22" s="54"/>
      <c r="C22" s="54"/>
      <c r="D22" s="54"/>
      <c r="E22" s="54"/>
      <c r="F22" s="54"/>
      <c r="G22" s="54"/>
      <c r="H22" s="35"/>
    </row>
    <row r="23" spans="1:8">
      <c r="A23" s="54"/>
      <c r="B23" s="54"/>
      <c r="C23" s="54"/>
      <c r="D23" s="54"/>
      <c r="E23" s="54"/>
      <c r="F23" s="54"/>
      <c r="G23" s="54"/>
      <c r="H23" s="35"/>
    </row>
    <row r="24" spans="1:8">
      <c r="A24" s="54"/>
      <c r="B24" s="54"/>
      <c r="C24" s="54"/>
      <c r="D24" s="54"/>
      <c r="E24" s="54"/>
      <c r="F24" s="54"/>
      <c r="G24" s="54"/>
      <c r="H24" s="35"/>
    </row>
    <row r="25" spans="1:8">
      <c r="A25" s="54"/>
      <c r="B25" s="54"/>
      <c r="C25" s="54"/>
      <c r="D25" s="54"/>
      <c r="E25" s="54"/>
      <c r="F25" s="54"/>
      <c r="G25" s="54"/>
      <c r="H25" s="35"/>
    </row>
    <row r="26" spans="1:8">
      <c r="A26" s="54"/>
      <c r="B26" s="54"/>
      <c r="C26" s="54"/>
      <c r="D26" s="54"/>
      <c r="E26" s="54"/>
      <c r="F26" s="54"/>
      <c r="G26" s="54"/>
      <c r="H26" s="35"/>
    </row>
    <row r="27" spans="1:8">
      <c r="A27" s="54"/>
      <c r="B27" s="54"/>
      <c r="C27" s="54"/>
      <c r="D27" s="54"/>
      <c r="E27" s="54"/>
      <c r="F27" s="54"/>
      <c r="G27" s="54"/>
      <c r="H27" s="35"/>
    </row>
    <row r="28" spans="1:8">
      <c r="A28" s="54"/>
      <c r="B28" s="54"/>
      <c r="C28" s="54"/>
      <c r="D28" s="54"/>
      <c r="E28" s="54"/>
      <c r="F28" s="54"/>
      <c r="G28" s="54"/>
      <c r="H28" s="35"/>
    </row>
    <row r="29" spans="1:8">
      <c r="A29" s="54"/>
      <c r="B29" s="54"/>
      <c r="C29" s="54"/>
      <c r="D29" s="54"/>
      <c r="E29" s="54"/>
      <c r="F29" s="54"/>
      <c r="G29" s="54"/>
      <c r="H29" s="35"/>
    </row>
    <row r="30" spans="1:8">
      <c r="A30" s="54"/>
      <c r="B30" s="54"/>
      <c r="C30" s="54"/>
      <c r="D30" s="54"/>
      <c r="E30" s="54"/>
      <c r="F30" s="54"/>
      <c r="G30" s="54"/>
      <c r="H30" s="35"/>
    </row>
    <row r="31" spans="1:8">
      <c r="A31" s="54"/>
      <c r="B31" s="54"/>
      <c r="C31" s="54"/>
      <c r="D31" s="54"/>
      <c r="E31" s="54"/>
      <c r="F31" s="54"/>
      <c r="G31" s="54"/>
      <c r="H31" s="35"/>
    </row>
    <row r="32" spans="1:8">
      <c r="A32" s="54"/>
      <c r="B32" s="54"/>
      <c r="C32" s="54"/>
      <c r="D32" s="54"/>
      <c r="E32" s="54"/>
      <c r="F32" s="54"/>
      <c r="G32" s="54"/>
      <c r="H32" s="35"/>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7AD92-4523-43A5-AC46-9DBDF700E1FA}">
  <dimension ref="A1:U8"/>
  <sheetViews>
    <sheetView topLeftCell="C1" workbookViewId="0">
      <selection activeCell="K15" sqref="K15"/>
    </sheetView>
  </sheetViews>
  <sheetFormatPr defaultColWidth="11.42578125" defaultRowHeight="15"/>
  <cols>
    <col min="1" max="1" width="16" customWidth="1"/>
    <col min="3" max="3" width="18.140625" customWidth="1"/>
  </cols>
  <sheetData>
    <row r="1" spans="1:21">
      <c r="A1" t="s">
        <v>729</v>
      </c>
      <c r="B1" t="s">
        <v>464</v>
      </c>
      <c r="C1" t="s">
        <v>730</v>
      </c>
      <c r="D1" t="s">
        <v>731</v>
      </c>
      <c r="E1" t="s">
        <v>732</v>
      </c>
      <c r="F1" t="s">
        <v>733</v>
      </c>
      <c r="G1" t="s">
        <v>734</v>
      </c>
      <c r="H1" t="s">
        <v>735</v>
      </c>
      <c r="I1" t="s">
        <v>736</v>
      </c>
      <c r="J1" t="s">
        <v>737</v>
      </c>
      <c r="K1" t="s">
        <v>738</v>
      </c>
      <c r="L1" t="s">
        <v>739</v>
      </c>
      <c r="M1" t="s">
        <v>740</v>
      </c>
      <c r="N1" t="s">
        <v>741</v>
      </c>
      <c r="O1" t="s">
        <v>742</v>
      </c>
      <c r="P1" t="s">
        <v>743</v>
      </c>
      <c r="Q1" t="s">
        <v>744</v>
      </c>
      <c r="R1" t="s">
        <v>745</v>
      </c>
      <c r="S1" t="s">
        <v>746</v>
      </c>
      <c r="T1" t="s">
        <v>747</v>
      </c>
      <c r="U1" t="s">
        <v>748</v>
      </c>
    </row>
    <row r="2" spans="1:21">
      <c r="B2" t="s">
        <v>589</v>
      </c>
      <c r="C2" t="s">
        <v>749</v>
      </c>
      <c r="D2" t="s">
        <v>750</v>
      </c>
      <c r="F2" t="s">
        <v>751</v>
      </c>
      <c r="G2" t="s">
        <v>752</v>
      </c>
      <c r="H2" t="s">
        <v>753</v>
      </c>
      <c r="I2">
        <v>0</v>
      </c>
      <c r="K2" t="s">
        <v>754</v>
      </c>
      <c r="L2" t="s">
        <v>755</v>
      </c>
      <c r="M2">
        <v>0</v>
      </c>
      <c r="N2" t="s">
        <v>756</v>
      </c>
      <c r="Q2" s="269">
        <v>39569</v>
      </c>
      <c r="S2" s="269">
        <v>45394</v>
      </c>
    </row>
    <row r="3" spans="1:21">
      <c r="A3" s="270">
        <v>820904084</v>
      </c>
      <c r="B3" t="s">
        <v>472</v>
      </c>
      <c r="C3" t="s">
        <v>749</v>
      </c>
      <c r="D3" t="s">
        <v>750</v>
      </c>
      <c r="E3" t="s">
        <v>757</v>
      </c>
      <c r="F3" t="s">
        <v>758</v>
      </c>
      <c r="G3" t="s">
        <v>752</v>
      </c>
      <c r="H3" t="s">
        <v>753</v>
      </c>
      <c r="I3">
        <v>2</v>
      </c>
      <c r="M3">
        <v>0</v>
      </c>
      <c r="N3" t="s">
        <v>756</v>
      </c>
      <c r="Q3" s="269">
        <v>39873</v>
      </c>
      <c r="S3" s="269">
        <v>45394</v>
      </c>
    </row>
    <row r="4" spans="1:21">
      <c r="A4" s="270">
        <v>820904084</v>
      </c>
      <c r="B4" t="s">
        <v>323</v>
      </c>
      <c r="C4" t="s">
        <v>749</v>
      </c>
      <c r="D4" t="s">
        <v>750</v>
      </c>
      <c r="E4" t="s">
        <v>757</v>
      </c>
      <c r="F4" t="s">
        <v>758</v>
      </c>
      <c r="G4" t="s">
        <v>752</v>
      </c>
      <c r="H4" t="s">
        <v>753</v>
      </c>
      <c r="I4">
        <v>2</v>
      </c>
      <c r="M4">
        <v>0</v>
      </c>
      <c r="N4" t="s">
        <v>756</v>
      </c>
      <c r="Q4" s="269">
        <v>39814</v>
      </c>
      <c r="S4" s="269">
        <v>45394</v>
      </c>
    </row>
    <row r="5" spans="1:21">
      <c r="A5" s="270">
        <v>820904084</v>
      </c>
      <c r="B5" t="s">
        <v>336</v>
      </c>
      <c r="C5" t="s">
        <v>759</v>
      </c>
      <c r="D5" t="s">
        <v>760</v>
      </c>
      <c r="E5" t="s">
        <v>761</v>
      </c>
      <c r="F5" t="s">
        <v>762</v>
      </c>
      <c r="G5" t="s">
        <v>763</v>
      </c>
      <c r="H5" t="s">
        <v>753</v>
      </c>
      <c r="I5">
        <v>0</v>
      </c>
      <c r="M5">
        <v>0</v>
      </c>
      <c r="N5" t="s">
        <v>756</v>
      </c>
      <c r="Q5" s="269">
        <v>41913</v>
      </c>
      <c r="S5" s="269">
        <v>45394</v>
      </c>
    </row>
    <row r="6" spans="1:21">
      <c r="A6" s="270">
        <v>820904084</v>
      </c>
      <c r="B6" t="s">
        <v>478</v>
      </c>
      <c r="C6" t="s">
        <v>749</v>
      </c>
      <c r="D6" t="s">
        <v>760</v>
      </c>
      <c r="E6" t="s">
        <v>764</v>
      </c>
      <c r="F6" t="s">
        <v>765</v>
      </c>
      <c r="G6" t="s">
        <v>752</v>
      </c>
      <c r="H6" t="s">
        <v>753</v>
      </c>
      <c r="I6">
        <v>2</v>
      </c>
      <c r="M6">
        <v>0</v>
      </c>
      <c r="N6" t="s">
        <v>756</v>
      </c>
      <c r="Q6" s="269">
        <v>39417</v>
      </c>
      <c r="S6" s="269">
        <v>45394</v>
      </c>
    </row>
    <row r="7" spans="1:21">
      <c r="A7" s="270">
        <v>952916229</v>
      </c>
      <c r="B7" t="s">
        <v>332</v>
      </c>
      <c r="C7" t="s">
        <v>766</v>
      </c>
      <c r="D7" t="s">
        <v>767</v>
      </c>
      <c r="E7" t="s">
        <v>768</v>
      </c>
      <c r="F7" t="s">
        <v>769</v>
      </c>
      <c r="G7" t="s">
        <v>752</v>
      </c>
      <c r="H7" t="s">
        <v>753</v>
      </c>
      <c r="I7">
        <v>2</v>
      </c>
      <c r="M7">
        <v>0</v>
      </c>
      <c r="N7" t="s">
        <v>756</v>
      </c>
      <c r="Q7" s="269">
        <v>40940</v>
      </c>
      <c r="S7" s="269">
        <v>45394</v>
      </c>
    </row>
    <row r="8" spans="1:21">
      <c r="A8" s="270">
        <v>820904084</v>
      </c>
      <c r="B8" t="s">
        <v>314</v>
      </c>
      <c r="C8" t="s">
        <v>749</v>
      </c>
      <c r="D8" t="s">
        <v>750</v>
      </c>
      <c r="F8" t="s">
        <v>758</v>
      </c>
      <c r="G8" t="s">
        <v>752</v>
      </c>
      <c r="H8" t="s">
        <v>753</v>
      </c>
      <c r="I8">
        <v>2</v>
      </c>
      <c r="M8">
        <v>0</v>
      </c>
      <c r="N8" t="s">
        <v>756</v>
      </c>
      <c r="Q8" s="269">
        <v>39022</v>
      </c>
      <c r="S8" s="269">
        <v>45394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D362-69A0-4471-8560-A14B091655CA}">
  <dimension ref="B2:F20"/>
  <sheetViews>
    <sheetView workbookViewId="0">
      <selection activeCell="C7" sqref="C7"/>
    </sheetView>
  </sheetViews>
  <sheetFormatPr defaultColWidth="11.42578125" defaultRowHeight="15"/>
  <cols>
    <col min="2" max="2" width="45.85546875" bestFit="1" customWidth="1"/>
    <col min="3" max="3" width="39.85546875" bestFit="1" customWidth="1"/>
  </cols>
  <sheetData>
    <row r="2" spans="2:3" ht="21">
      <c r="B2" s="557" t="s">
        <v>770</v>
      </c>
      <c r="C2" s="558"/>
    </row>
    <row r="5" spans="2:3" ht="18.75">
      <c r="B5" s="486" t="s">
        <v>771</v>
      </c>
      <c r="C5" s="486">
        <v>46023</v>
      </c>
    </row>
    <row r="6" spans="2:3" ht="18">
      <c r="B6" s="504" t="s">
        <v>772</v>
      </c>
      <c r="C6" s="483" t="s">
        <v>75</v>
      </c>
    </row>
    <row r="7" spans="2:3" ht="18">
      <c r="B7" s="504" t="s">
        <v>75</v>
      </c>
      <c r="C7" s="483" t="s">
        <v>512</v>
      </c>
    </row>
    <row r="8" spans="2:3" ht="18">
      <c r="B8" s="504" t="s">
        <v>137</v>
      </c>
      <c r="C8" s="483" t="s">
        <v>101</v>
      </c>
    </row>
    <row r="9" spans="2:3" ht="18">
      <c r="B9" s="504" t="s">
        <v>158</v>
      </c>
      <c r="C9" s="483" t="s">
        <v>296</v>
      </c>
    </row>
    <row r="10" spans="2:3" ht="18">
      <c r="B10" s="504" t="s">
        <v>309</v>
      </c>
      <c r="C10" s="483" t="s">
        <v>137</v>
      </c>
    </row>
    <row r="11" spans="2:3" ht="18">
      <c r="B11" s="504" t="s">
        <v>773</v>
      </c>
      <c r="C11" s="483" t="s">
        <v>500</v>
      </c>
    </row>
    <row r="12" spans="2:3" ht="18">
      <c r="B12" s="484"/>
      <c r="C12" s="483" t="s">
        <v>158</v>
      </c>
    </row>
    <row r="13" spans="2:3" ht="18">
      <c r="B13" s="484"/>
      <c r="C13" s="483" t="s">
        <v>309</v>
      </c>
    </row>
    <row r="14" spans="2:3" ht="18">
      <c r="B14" s="484"/>
      <c r="C14" s="485" t="s">
        <v>774</v>
      </c>
    </row>
    <row r="18" spans="6:6">
      <c r="F18">
        <f>16*60</f>
        <v>960</v>
      </c>
    </row>
    <row r="20" spans="6:6">
      <c r="F20">
        <f>12*80</f>
        <v>960</v>
      </c>
    </row>
  </sheetData>
  <sortState xmlns:xlrd2="http://schemas.microsoft.com/office/spreadsheetml/2017/richdata2" ref="C6:C13">
    <sortCondition ref="C5:C13"/>
  </sortState>
  <mergeCells count="1">
    <mergeCell ref="B2:C2"/>
  </mergeCells>
  <phoneticPr fontId="39" type="noConversion"/>
  <pageMargins left="0.70866141732283472" right="0.70866141732283472" top="0.74803149606299213" bottom="0.74803149606299213" header="0.31496062992125984" footer="0.31496062992125984"/>
  <pageSetup paperSize="9" orientation="landscape"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4BCD2-ED68-4704-BDE4-737B5DCAE56D}">
  <dimension ref="B3:J25"/>
  <sheetViews>
    <sheetView workbookViewId="0">
      <selection activeCell="E23" sqref="E23"/>
    </sheetView>
  </sheetViews>
  <sheetFormatPr defaultColWidth="11.42578125" defaultRowHeight="15"/>
  <cols>
    <col min="2" max="2" width="44.28515625" bestFit="1" customWidth="1"/>
    <col min="3" max="3" width="30.140625" bestFit="1" customWidth="1"/>
    <col min="4" max="4" width="14.85546875" bestFit="1" customWidth="1"/>
    <col min="5" max="5" width="30.140625" bestFit="1" customWidth="1"/>
    <col min="6" max="6" width="13" bestFit="1" customWidth="1"/>
    <col min="8" max="8" width="40.5703125" bestFit="1" customWidth="1"/>
    <col min="9" max="9" width="30.140625" bestFit="1" customWidth="1"/>
    <col min="10" max="10" width="22.7109375" bestFit="1" customWidth="1"/>
  </cols>
  <sheetData>
    <row r="3" spans="2:10" ht="18.75">
      <c r="H3" s="35"/>
      <c r="I3" s="486">
        <v>46023</v>
      </c>
      <c r="J3" s="503"/>
    </row>
    <row r="4" spans="2:10" ht="18">
      <c r="B4" s="559" t="s">
        <v>775</v>
      </c>
      <c r="C4" s="559"/>
      <c r="D4" s="559"/>
      <c r="H4" s="35"/>
      <c r="I4" s="487" t="s">
        <v>776</v>
      </c>
      <c r="J4" s="487" t="s">
        <v>777</v>
      </c>
    </row>
    <row r="5" spans="2:10" ht="18" customHeight="1">
      <c r="H5" s="35"/>
      <c r="I5" s="489"/>
      <c r="J5" s="489"/>
    </row>
    <row r="6" spans="2:10" ht="18" customHeight="1">
      <c r="I6" s="489"/>
      <c r="J6" s="489"/>
    </row>
    <row r="7" spans="2:10" ht="18.75">
      <c r="C7" s="560" t="s">
        <v>771</v>
      </c>
      <c r="D7" s="560"/>
      <c r="H7" s="504" t="s">
        <v>75</v>
      </c>
      <c r="I7" s="489" t="s">
        <v>778</v>
      </c>
      <c r="J7" s="489" t="s">
        <v>779</v>
      </c>
    </row>
    <row r="8" spans="2:10" ht="18">
      <c r="B8" s="487" t="s">
        <v>780</v>
      </c>
      <c r="C8" s="487" t="s">
        <v>776</v>
      </c>
      <c r="D8" s="487" t="s">
        <v>777</v>
      </c>
      <c r="H8" s="504"/>
      <c r="I8" s="490">
        <v>46036</v>
      </c>
      <c r="J8" s="489">
        <v>1017</v>
      </c>
    </row>
    <row r="9" spans="2:10" ht="18" customHeight="1">
      <c r="B9" s="561" t="s">
        <v>75</v>
      </c>
      <c r="C9" s="489" t="s">
        <v>781</v>
      </c>
      <c r="D9" s="562" t="s">
        <v>782</v>
      </c>
      <c r="H9" s="504"/>
      <c r="I9" s="35" t="s">
        <v>783</v>
      </c>
      <c r="J9" s="35">
        <v>95174</v>
      </c>
    </row>
    <row r="10" spans="2:10" ht="18" customHeight="1">
      <c r="B10" s="561"/>
      <c r="C10" s="490">
        <v>46382</v>
      </c>
      <c r="D10" s="562"/>
      <c r="H10" s="504"/>
      <c r="I10" s="35"/>
      <c r="J10" s="35"/>
    </row>
    <row r="11" spans="2:10" ht="45">
      <c r="B11" s="561"/>
      <c r="C11" s="491" t="s">
        <v>784</v>
      </c>
      <c r="D11" s="562"/>
      <c r="H11" s="504" t="s">
        <v>137</v>
      </c>
      <c r="I11" s="494">
        <v>46048</v>
      </c>
      <c r="J11" s="489"/>
    </row>
    <row r="12" spans="2:10" ht="18">
      <c r="B12" s="504" t="s">
        <v>137</v>
      </c>
      <c r="C12" s="489" t="s">
        <v>785</v>
      </c>
      <c r="D12" s="489" t="s">
        <v>786</v>
      </c>
      <c r="H12" s="504" t="s">
        <v>158</v>
      </c>
      <c r="I12" s="489"/>
      <c r="J12" s="489"/>
    </row>
    <row r="13" spans="2:10" ht="18">
      <c r="B13" s="504" t="s">
        <v>158</v>
      </c>
      <c r="C13" s="489" t="s">
        <v>787</v>
      </c>
      <c r="D13" s="489" t="s">
        <v>788</v>
      </c>
      <c r="H13" s="504" t="s">
        <v>309</v>
      </c>
      <c r="I13" s="489"/>
      <c r="J13" s="489"/>
    </row>
    <row r="14" spans="2:10" ht="30">
      <c r="B14" s="504" t="s">
        <v>309</v>
      </c>
      <c r="C14" s="492" t="s">
        <v>789</v>
      </c>
      <c r="D14" s="493" t="s">
        <v>790</v>
      </c>
      <c r="H14" s="496" t="s">
        <v>512</v>
      </c>
      <c r="I14" s="489"/>
      <c r="J14" s="489"/>
    </row>
    <row r="15" spans="2:10" ht="18" customHeight="1">
      <c r="B15" s="561" t="s">
        <v>773</v>
      </c>
      <c r="C15" s="489" t="s">
        <v>791</v>
      </c>
      <c r="D15" s="563" t="s">
        <v>792</v>
      </c>
      <c r="H15" s="497"/>
      <c r="I15" s="35" t="s">
        <v>793</v>
      </c>
      <c r="J15" s="35">
        <v>1017</v>
      </c>
    </row>
    <row r="16" spans="2:10" ht="15" customHeight="1">
      <c r="B16" s="561"/>
      <c r="C16" s="490" t="s">
        <v>794</v>
      </c>
      <c r="D16" s="564"/>
      <c r="H16" s="498"/>
      <c r="I16" s="35" t="s">
        <v>795</v>
      </c>
      <c r="J16" s="35">
        <v>1017</v>
      </c>
    </row>
    <row r="17" spans="2:10" ht="15" customHeight="1">
      <c r="H17" s="496" t="s">
        <v>101</v>
      </c>
      <c r="I17" s="494">
        <v>46027</v>
      </c>
      <c r="J17" s="489" t="s">
        <v>796</v>
      </c>
    </row>
    <row r="18" spans="2:10" ht="18">
      <c r="B18" s="504" t="s">
        <v>772</v>
      </c>
      <c r="H18" s="497"/>
      <c r="I18" s="488">
        <v>46028</v>
      </c>
      <c r="J18" s="35">
        <v>1016</v>
      </c>
    </row>
    <row r="19" spans="2:10" ht="15" customHeight="1">
      <c r="H19" s="498"/>
      <c r="I19" s="35" t="s">
        <v>797</v>
      </c>
      <c r="J19" s="35">
        <v>1012</v>
      </c>
    </row>
    <row r="20" spans="2:10" ht="15" customHeight="1">
      <c r="H20" s="504" t="s">
        <v>296</v>
      </c>
      <c r="I20" s="489" t="s">
        <v>798</v>
      </c>
      <c r="J20" s="489" t="s">
        <v>779</v>
      </c>
    </row>
    <row r="21" spans="2:10" ht="15" customHeight="1">
      <c r="H21" s="504" t="s">
        <v>500</v>
      </c>
      <c r="I21" s="488">
        <v>46027</v>
      </c>
      <c r="J21" s="35">
        <v>1016</v>
      </c>
    </row>
    <row r="22" spans="2:10" ht="18">
      <c r="H22" s="504"/>
      <c r="I22" s="35"/>
      <c r="J22" s="35"/>
    </row>
    <row r="23" spans="2:10" ht="18">
      <c r="H23" s="504"/>
      <c r="I23" s="35"/>
      <c r="J23" s="35"/>
    </row>
    <row r="24" spans="2:10" ht="18">
      <c r="H24" s="495" t="s">
        <v>799</v>
      </c>
      <c r="I24" s="35"/>
      <c r="J24" s="35"/>
    </row>
    <row r="25" spans="2:10" ht="18">
      <c r="H25" s="504" t="s">
        <v>800</v>
      </c>
      <c r="I25" s="488">
        <v>46038</v>
      </c>
      <c r="J25" s="35">
        <v>1016</v>
      </c>
    </row>
  </sheetData>
  <mergeCells count="6">
    <mergeCell ref="B4:D4"/>
    <mergeCell ref="C7:D7"/>
    <mergeCell ref="B9:B11"/>
    <mergeCell ref="D9:D11"/>
    <mergeCell ref="D15:D16"/>
    <mergeCell ref="B15:B16"/>
  </mergeCells>
  <pageMargins left="0.7" right="0.7" top="0.75" bottom="0.75" header="0.3" footer="0.3"/>
  <pageSetup paperSize="9" orientation="landscape" horizontalDpi="0"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0E07-DEC7-4103-AFDE-41AAACDD5D1C}">
  <sheetPr>
    <tabColor rgb="FF0070C0"/>
  </sheetPr>
  <dimension ref="A1:B8"/>
  <sheetViews>
    <sheetView workbookViewId="0">
      <selection activeCell="B28" sqref="B28"/>
    </sheetView>
  </sheetViews>
  <sheetFormatPr defaultColWidth="11.42578125" defaultRowHeight="15"/>
  <cols>
    <col min="1" max="1" width="23" customWidth="1"/>
    <col min="2" max="2" width="39.42578125" customWidth="1"/>
  </cols>
  <sheetData>
    <row r="1" spans="1:2">
      <c r="A1" s="565" t="s">
        <v>801</v>
      </c>
      <c r="B1" s="565"/>
    </row>
    <row r="2" spans="1:2">
      <c r="A2" s="61" t="s">
        <v>802</v>
      </c>
      <c r="B2" s="470" t="s">
        <v>803</v>
      </c>
    </row>
    <row r="3" spans="1:2">
      <c r="A3" s="35" t="s">
        <v>101</v>
      </c>
      <c r="B3" s="502" t="s">
        <v>804</v>
      </c>
    </row>
    <row r="4" spans="1:2">
      <c r="A4" s="35" t="s">
        <v>805</v>
      </c>
      <c r="B4" s="502" t="s">
        <v>806</v>
      </c>
    </row>
    <row r="5" spans="1:2">
      <c r="A5" s="566" t="s">
        <v>807</v>
      </c>
      <c r="B5" s="35" t="s">
        <v>808</v>
      </c>
    </row>
    <row r="6" spans="1:2">
      <c r="A6" s="566"/>
      <c r="B6" s="502" t="s">
        <v>809</v>
      </c>
    </row>
    <row r="7" spans="1:2">
      <c r="A7" s="35" t="s">
        <v>810</v>
      </c>
      <c r="B7" s="471" t="s">
        <v>811</v>
      </c>
    </row>
    <row r="8" spans="1:2">
      <c r="A8" s="35" t="s">
        <v>50</v>
      </c>
      <c r="B8" s="502" t="s">
        <v>812</v>
      </c>
    </row>
  </sheetData>
  <mergeCells count="2">
    <mergeCell ref="A1:B1"/>
    <mergeCell ref="A5: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 LOGISTIQUE</dc:creator>
  <cp:keywords/>
  <dc:description/>
  <cp:lastModifiedBy/>
  <cp:revision/>
  <dcterms:created xsi:type="dcterms:W3CDTF">2024-12-12T09:38:25Z</dcterms:created>
  <dcterms:modified xsi:type="dcterms:W3CDTF">2026-03-27T19:54:48Z</dcterms:modified>
  <cp:category/>
  <cp:contentStatus/>
</cp:coreProperties>
</file>